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neumark\Downloads\"/>
    </mc:Choice>
  </mc:AlternateContent>
  <xr:revisionPtr revIDLastSave="0" documentId="8_{F1E8BCD9-8744-4558-8807-DB4DCEC872D2}" xr6:coauthVersionLast="47" xr6:coauthVersionMax="47" xr10:uidLastSave="{00000000-0000-0000-0000-000000000000}"/>
  <bookViews>
    <workbookView xWindow="-120" yWindow="-120" windowWidth="29040" windowHeight="15720" tabRatio="500" xr2:uid="{00000000-000D-0000-FFFF-FFFF00000000}"/>
  </bookViews>
  <sheets>
    <sheet name="BOV Summary" sheetId="1" r:id="rId1"/>
    <sheet name="Income Statement" sheetId="2" r:id="rId2"/>
    <sheet name="Sales Comps" sheetId="3" state="hidden" r:id="rId3"/>
    <sheet name="Rent Comps" sheetId="4" state="hidden" r:id="rId4"/>
    <sheet name="5-Year Cash Flow" sheetId="5" r:id="rId5"/>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0" i="5" l="1"/>
  <c r="G38" i="5"/>
  <c r="E18" i="4"/>
  <c r="I17" i="4"/>
  <c r="F31" i="1" s="1"/>
  <c r="G17" i="4"/>
  <c r="F17" i="4"/>
  <c r="E17" i="4"/>
  <c r="D17" i="4"/>
  <c r="D18" i="3"/>
  <c r="C33" i="1" s="1"/>
  <c r="I17" i="3"/>
  <c r="G17" i="3"/>
  <c r="F17" i="3"/>
  <c r="D17" i="3"/>
  <c r="C31" i="1" s="1"/>
  <c r="E66" i="2"/>
  <c r="D59" i="2"/>
  <c r="E59" i="2" s="1"/>
  <c r="E58" i="2"/>
  <c r="D58" i="2"/>
  <c r="D57" i="2"/>
  <c r="E57" i="2" s="1"/>
  <c r="D56" i="2"/>
  <c r="E56" i="2" s="1"/>
  <c r="D55" i="2"/>
  <c r="E55" i="2" s="1"/>
  <c r="D54" i="2"/>
  <c r="E54" i="2" s="1"/>
  <c r="D53" i="2"/>
  <c r="E53" i="2" s="1"/>
  <c r="E52" i="2"/>
  <c r="D52" i="2"/>
  <c r="D51" i="2"/>
  <c r="E51" i="2" s="1"/>
  <c r="D50" i="2"/>
  <c r="D49" i="2"/>
  <c r="D48" i="2"/>
  <c r="D47" i="2"/>
  <c r="E47" i="2" s="1"/>
  <c r="D46" i="2"/>
  <c r="E46" i="2" s="1"/>
  <c r="D45" i="2"/>
  <c r="E45" i="2" s="1"/>
  <c r="D44" i="2"/>
  <c r="E44" i="2" s="1"/>
  <c r="E43" i="2"/>
  <c r="D43" i="2"/>
  <c r="D42" i="2"/>
  <c r="E42" i="2" s="1"/>
  <c r="E41" i="2"/>
  <c r="D41" i="2"/>
  <c r="D40" i="2"/>
  <c r="E40" i="2" s="1"/>
  <c r="D39" i="2"/>
  <c r="E39" i="2" s="1"/>
  <c r="D38" i="2"/>
  <c r="E37" i="2"/>
  <c r="D37" i="2"/>
  <c r="E36" i="2"/>
  <c r="D36" i="2"/>
  <c r="D35" i="2"/>
  <c r="E35" i="2" s="1"/>
  <c r="E34" i="2"/>
  <c r="D34" i="2"/>
  <c r="C32" i="2"/>
  <c r="C61" i="2" s="1"/>
  <c r="D31" i="2"/>
  <c r="E31" i="2" s="1"/>
  <c r="D30" i="2"/>
  <c r="E30" i="2" s="1"/>
  <c r="D29" i="2"/>
  <c r="E29" i="2" s="1"/>
  <c r="D28" i="2"/>
  <c r="E28" i="2" s="1"/>
  <c r="D27" i="2"/>
  <c r="D32" i="2" s="1"/>
  <c r="D61" i="2" s="1"/>
  <c r="C20" i="2"/>
  <c r="C23" i="2" s="1"/>
  <c r="D19" i="2"/>
  <c r="E19" i="2" s="1"/>
  <c r="D18" i="2"/>
  <c r="E18" i="2" s="1"/>
  <c r="E17" i="2"/>
  <c r="D17" i="2"/>
  <c r="D16" i="2"/>
  <c r="E16" i="2" s="1"/>
  <c r="D15" i="2"/>
  <c r="D20" i="2" s="1"/>
  <c r="D23" i="2" s="1"/>
  <c r="D63" i="2" s="1"/>
  <c r="E13" i="2"/>
  <c r="D13" i="2"/>
  <c r="D12" i="2"/>
  <c r="E12" i="2" s="1"/>
  <c r="E11" i="2"/>
  <c r="D11" i="2"/>
  <c r="E10" i="2"/>
  <c r="D10" i="2"/>
  <c r="D9" i="2"/>
  <c r="E9" i="2" s="1"/>
  <c r="D8" i="2"/>
  <c r="E8" i="2" s="1"/>
  <c r="D7" i="2"/>
  <c r="E7" i="2" s="1"/>
  <c r="F35" i="1"/>
  <c r="C35" i="1"/>
  <c r="F34" i="1"/>
  <c r="F33" i="1"/>
  <c r="F32" i="1"/>
  <c r="C32" i="1"/>
  <c r="F30" i="1"/>
  <c r="C30" i="1"/>
  <c r="F13" i="1"/>
  <c r="F18" i="1" l="1"/>
  <c r="F14" i="1"/>
  <c r="C17" i="5"/>
  <c r="C63" i="2"/>
  <c r="C18" i="5"/>
  <c r="D18" i="5" s="1"/>
  <c r="E18" i="5" s="1"/>
  <c r="F18" i="5" s="1"/>
  <c r="G18" i="5" s="1"/>
  <c r="E15" i="2"/>
  <c r="E20" i="2" s="1"/>
  <c r="E27" i="2"/>
  <c r="E32" i="2" s="1"/>
  <c r="C19" i="5" l="1"/>
  <c r="D19" i="5" s="1"/>
  <c r="E19" i="5" s="1"/>
  <c r="F19" i="5" s="1"/>
  <c r="G19" i="5" s="1"/>
  <c r="F19" i="1"/>
  <c r="E23" i="2"/>
  <c r="D17" i="5"/>
  <c r="C21" i="5"/>
  <c r="E17" i="5" l="1"/>
  <c r="D20" i="5"/>
  <c r="D21" i="5" s="1"/>
  <c r="F20" i="1"/>
  <c r="F17" i="5" l="1"/>
  <c r="E20" i="5"/>
  <c r="E21" i="5" s="1"/>
  <c r="G17" i="5" l="1"/>
  <c r="F20" i="5"/>
  <c r="F21" i="5" s="1"/>
  <c r="G20" i="5" l="1"/>
  <c r="G21" i="5" s="1"/>
  <c r="C12" i="5" l="1"/>
  <c r="C24" i="5"/>
  <c r="D24" i="5"/>
  <c r="E24" i="5"/>
  <c r="F24" i="5"/>
  <c r="G24" i="5"/>
  <c r="C26" i="5"/>
  <c r="D26" i="5"/>
  <c r="E26" i="5"/>
  <c r="F26" i="5"/>
  <c r="G26" i="5"/>
  <c r="C28" i="5"/>
  <c r="D28" i="5"/>
  <c r="E28" i="5"/>
  <c r="F28" i="5"/>
  <c r="G28" i="5"/>
  <c r="C31" i="5"/>
  <c r="D31" i="5"/>
  <c r="E31" i="5"/>
  <c r="F31" i="5"/>
  <c r="G31" i="5"/>
  <c r="C32" i="5"/>
  <c r="D32" i="5"/>
  <c r="E32" i="5"/>
  <c r="F32" i="5"/>
  <c r="G32" i="5"/>
  <c r="C33" i="5"/>
  <c r="D33" i="5"/>
  <c r="E33" i="5"/>
  <c r="F33" i="5"/>
  <c r="G33" i="5"/>
  <c r="C34" i="5"/>
  <c r="D34" i="5"/>
  <c r="E34" i="5"/>
  <c r="F34" i="5"/>
  <c r="G34" i="5"/>
  <c r="G37" i="5"/>
  <c r="G39" i="5"/>
  <c r="G40" i="5"/>
  <c r="G41" i="5"/>
  <c r="C46" i="5"/>
  <c r="D46" i="5"/>
  <c r="E46" i="5"/>
  <c r="F46" i="5"/>
  <c r="G46" i="5"/>
  <c r="H46" i="5"/>
  <c r="F47" i="5"/>
  <c r="F48" i="5"/>
  <c r="F49" i="5"/>
  <c r="F50" i="5"/>
  <c r="J6" i="1"/>
  <c r="B7" i="1"/>
  <c r="E7" i="1"/>
  <c r="F21" i="1"/>
  <c r="F22" i="1"/>
  <c r="F25" i="1"/>
  <c r="F26" i="1"/>
  <c r="C34" i="1"/>
  <c r="I8" i="2"/>
  <c r="I10" i="2"/>
  <c r="E48" i="2"/>
  <c r="E61" i="2"/>
  <c r="E63" i="2"/>
  <c r="E67" i="2"/>
  <c r="E68" i="2"/>
  <c r="E69" i="2"/>
</calcChain>
</file>

<file path=xl/sharedStrings.xml><?xml version="1.0" encoding="utf-8"?>
<sst xmlns="http://schemas.openxmlformats.org/spreadsheetml/2006/main" count="218" uniqueCount="202">
  <si>
    <t>BROKER OPINION OF VALUE</t>
  </si>
  <si>
    <t>Oak Shadows Mobile Home Park  |  San Andreas, CA  |  105 Units  |  Confidential</t>
  </si>
  <si>
    <t>Prepared by: Northmarq  |  March 2026</t>
  </si>
  <si>
    <t>ESTIMATED VALUE</t>
  </si>
  <si>
    <t>STABILIZED NOI</t>
  </si>
  <si>
    <t>Annual Net Operating Income</t>
  </si>
  <si>
    <t xml:space="preserve">  PROPERTY OVERVIEW</t>
  </si>
  <si>
    <t>Property Name</t>
  </si>
  <si>
    <t>Oak Shadows Mobile Home Park</t>
  </si>
  <si>
    <t>Total Units</t>
  </si>
  <si>
    <t>Property Type</t>
  </si>
  <si>
    <t>Manufactured Housing Community</t>
  </si>
  <si>
    <t>Occupied Units</t>
  </si>
  <si>
    <t>Location</t>
  </si>
  <si>
    <t>1330 Calaveritas Rd, San Andreas, CA 95249</t>
  </si>
  <si>
    <t>Occupancy Rate</t>
  </si>
  <si>
    <t>Lot Rent Range</t>
  </si>
  <si>
    <t>Avg. Lot Rent ($/space/mo)</t>
  </si>
  <si>
    <t>Management</t>
  </si>
  <si>
    <t>Year of Analysis</t>
  </si>
  <si>
    <t xml:space="preserve">  VALUATION SUMMARY</t>
  </si>
  <si>
    <t>Gross Potential Rent (2026 Normalized)</t>
  </si>
  <si>
    <t>Total Utility Income (2026 Normalized)</t>
  </si>
  <si>
    <t>Effective Gross Income (2026 Normalized)</t>
  </si>
  <si>
    <t>Total Operating Expenses (2026 Normalized)</t>
  </si>
  <si>
    <t>Net Operating Income — Stabilized NOI</t>
  </si>
  <si>
    <t>Cap Rate Applied (Broker Selected)</t>
  </si>
  <si>
    <t>Estimated Value (NOI / Cap Rate)</t>
  </si>
  <si>
    <t>Price Per Unit</t>
  </si>
  <si>
    <t xml:space="preserve">  MARKET COMPARABLES SUMMARY</t>
  </si>
  <si>
    <t>Comp Avg Sale Price</t>
  </si>
  <si>
    <t>Comp Avg Lot Rent</t>
  </si>
  <si>
    <t>Comp Avg Price / Space</t>
  </si>
  <si>
    <t>Comp Avg Occupancy</t>
  </si>
  <si>
    <t>Comp Avg Cap Rate</t>
  </si>
  <si>
    <t>Subject Avg Lot Rent</t>
  </si>
  <si>
    <t>Sales Comp Count</t>
  </si>
  <si>
    <t>Rent Comp Count</t>
  </si>
  <si>
    <t>Subject Price / Space</t>
  </si>
  <si>
    <t>Subject vs. Comp Lot Rent</t>
  </si>
  <si>
    <t>Subject Cap Rate (BOV)</t>
  </si>
  <si>
    <t>Subject 2026 Lot Rent</t>
  </si>
  <si>
    <t>↗ Enter comps directly in the 'Sales Comps' and 'Rent Comps' tabs — averages update automatically on this page</t>
  </si>
  <si>
    <t>DISCLAIMER: This Broker Opinion of Value (BOV) is prepared for informational purposes only and does not constitute an appraisal, guarantee of value, or offer to sell. Actual market value may differ. All information is derived from owner-provided financials and current market conditions as of March 2026.</t>
  </si>
  <si>
    <t>INCOME &amp; EXPENSE STATEMENT</t>
  </si>
  <si>
    <t>Oak Shadows MHP  |  January – December 2025  |  Accrual Basis</t>
  </si>
  <si>
    <t>Northmarq  |  March 2026</t>
  </si>
  <si>
    <t>LINE ITEM</t>
  </si>
  <si>
    <t>ACTUAL 2025</t>
  </si>
  <si>
    <t>2026 w/ rent Increase</t>
  </si>
  <si>
    <t>2026 Normalized (Adjustable)</t>
  </si>
  <si>
    <t>Normalization Notes</t>
  </si>
  <si>
    <t xml:space="preserve">  NORMALIZATION ASSUMPTIONS</t>
  </si>
  <si>
    <t xml:space="preserve">  INCOME</t>
  </si>
  <si>
    <t>← Blue cells = adjustable inputs</t>
  </si>
  <si>
    <t>← Explain any adjustments in the Normalized column</t>
  </si>
  <si>
    <t>Adjust inputs below — Normalized column updates automatically</t>
  </si>
  <si>
    <t xml:space="preserve">    Lot Rent / Rental Income</t>
  </si>
  <si>
    <t xml:space="preserve">  Property Tax Inputs</t>
  </si>
  <si>
    <t xml:space="preserve">    Storage Fees</t>
  </si>
  <si>
    <t>Estimated Value (from BOV Summary)</t>
  </si>
  <si>
    <t>Linked to BOV Summary estimated value (iterative calc enabled). Excel recalculates ~100x until NOI &amp; value converge.</t>
  </si>
  <si>
    <t xml:space="preserve">    Application &amp; NSF Fees</t>
  </si>
  <si>
    <t>Property Tax Rate (%)</t>
  </si>
  <si>
    <t>Adjust rate here — E48 updates automatically</t>
  </si>
  <si>
    <t xml:space="preserve">    Late Fees</t>
  </si>
  <si>
    <t>→ Calculated Annual Property Tax</t>
  </si>
  <si>
    <t>← Converges dynamically: Value → Tax → NOI → Value. Iterative calc resolves this in ~3-5 passes.</t>
  </si>
  <si>
    <t xml:space="preserve">    Concession Credits</t>
  </si>
  <si>
    <t xml:space="preserve">    Cable Income</t>
  </si>
  <si>
    <t xml:space="preserve">  Other Normalization Inputs</t>
  </si>
  <si>
    <t xml:space="preserve">    Misc Income</t>
  </si>
  <si>
    <t>Vacancy &amp; Credit Loss Rate (%)</t>
  </si>
  <si>
    <t>Applied to Lot Rent in Normalized column (row 22)</t>
  </si>
  <si>
    <t xml:space="preserve">    Utility Income Billed to Tenants</t>
  </si>
  <si>
    <t xml:space="preserve">        Gas &amp; Propane Billed</t>
  </si>
  <si>
    <t xml:space="preserve">        Water Billed</t>
  </si>
  <si>
    <t xml:space="preserve">        Sewer Billed</t>
  </si>
  <si>
    <t xml:space="preserve">        Garbage Billed</t>
  </si>
  <si>
    <t xml:space="preserve">        Electric Billed</t>
  </si>
  <si>
    <t xml:space="preserve">    Total Utility Income</t>
  </si>
  <si>
    <t xml:space="preserve">    Vacancy &amp; Credit Loss</t>
  </si>
  <si>
    <t>-</t>
  </si>
  <si>
    <t>Vacancy rate applied to Lot Rent; adjust % in col E → updates EGI automatically</t>
  </si>
  <si>
    <t>EFFECTIVE GROSS INCOME (EGI)</t>
  </si>
  <si>
    <t xml:space="preserve">  OPERATING EXPENSES</t>
  </si>
  <si>
    <t xml:space="preserve">    Utility Expenses (Pass-Through)</t>
  </si>
  <si>
    <t xml:space="preserve">        Gas &amp; Propane Cost</t>
  </si>
  <si>
    <t xml:space="preserve">        Water Cost</t>
  </si>
  <si>
    <t xml:space="preserve">        Sewer Cost</t>
  </si>
  <si>
    <t xml:space="preserve">        Electric Cost</t>
  </si>
  <si>
    <t xml:space="preserve">        Garbage Cost</t>
  </si>
  <si>
    <t xml:space="preserve">    Total Utility Expenses</t>
  </si>
  <si>
    <t xml:space="preserve">    Advertising</t>
  </si>
  <si>
    <t xml:space="preserve">    Travel &amp; Auto</t>
  </si>
  <si>
    <t xml:space="preserve">    Pest Control</t>
  </si>
  <si>
    <t xml:space="preserve">    Landscaping</t>
  </si>
  <si>
    <t xml:space="preserve">    Building Insurance</t>
  </si>
  <si>
    <t>Est increase</t>
  </si>
  <si>
    <t xml:space="preserve">    Manager Insurance</t>
  </si>
  <si>
    <t xml:space="preserve">    Legal Fees (recurring)</t>
  </si>
  <si>
    <t xml:space="preserve">    Interest Expense (operating)</t>
  </si>
  <si>
    <t xml:space="preserve">    Pool Expense</t>
  </si>
  <si>
    <t xml:space="preserve">    Maintenance</t>
  </si>
  <si>
    <t xml:space="preserve">    Cleaning</t>
  </si>
  <si>
    <t xml:space="preserve">    Street Repairs</t>
  </si>
  <si>
    <t xml:space="preserve">    Annual Maintenance</t>
  </si>
  <si>
    <t xml:space="preserve">    Plumbing</t>
  </si>
  <si>
    <t xml:space="preserve">    Property Taxes</t>
  </si>
  <si>
    <t>Dynamic: rate (I9) × BOV estimated value (I8). Iterative calc enabled — updates when cap rate or NOI changes.</t>
  </si>
  <si>
    <t xml:space="preserve">    State Taxes</t>
  </si>
  <si>
    <t>removed</t>
  </si>
  <si>
    <t xml:space="preserve">    Office Supplies &amp; Expense</t>
  </si>
  <si>
    <t>Adjusted</t>
  </si>
  <si>
    <t xml:space="preserve">    Internet &amp; Phone</t>
  </si>
  <si>
    <t xml:space="preserve">    Postage</t>
  </si>
  <si>
    <t xml:space="preserve">    Licenses / Dues / Permits</t>
  </si>
  <si>
    <t xml:space="preserve">    Bank Fees</t>
  </si>
  <si>
    <t xml:space="preserve">    Resident Manager Salary</t>
  </si>
  <si>
    <t xml:space="preserve">    R&amp;M Labor</t>
  </si>
  <si>
    <t xml:space="preserve">    Off-Site Management</t>
  </si>
  <si>
    <t xml:space="preserve">    Payroll Taxes</t>
  </si>
  <si>
    <t xml:space="preserve">    Payroll Processing</t>
  </si>
  <si>
    <t>TOTAL OPERATING EXPENSES</t>
  </si>
  <si>
    <t>NET OPERATING INCOME (NOI)</t>
  </si>
  <si>
    <t xml:space="preserve">  VALUATION</t>
  </si>
  <si>
    <t xml:space="preserve">    Cap Rate Applied (Market – Stabilized MHP)</t>
  </si>
  <si>
    <t xml:space="preserve">    Estimated Market Value (NOI / Cap Rate)</t>
  </si>
  <si>
    <t xml:space="preserve">    Price Per Unit</t>
  </si>
  <si>
    <t xml:space="preserve">    Expense Ratio (Exp / EGI)</t>
  </si>
  <si>
    <t>SALES COMPARABLES</t>
  </si>
  <si>
    <t>Oak Shadows MHP  |  Enter comps manually — all blue cells are inputs  |  March 2026</t>
  </si>
  <si>
    <t>Enter up to 10 sales comparables below. Blue cells = manual inputs. Leave rows blank if unused. Cap rate optional if not disclosed.</t>
  </si>
  <si>
    <t>Park Name</t>
  </si>
  <si>
    <t>Address / City, State</t>
  </si>
  <si>
    <t>Sale Price</t>
  </si>
  <si>
    <t>Sale Date</t>
  </si>
  <si>
    <t># Units
(Spaces)</t>
  </si>
  <si>
    <t>Cap Rate
(if known)</t>
  </si>
  <si>
    <t>Utility
Structure</t>
  </si>
  <si>
    <t>Lot Rent
(Avg $/mo)</t>
  </si>
  <si>
    <t>Distance from
Subject</t>
  </si>
  <si>
    <t>Notes</t>
  </si>
  <si>
    <t>AVERAGES (excl. blank rows)</t>
  </si>
  <si>
    <t>Comp Count</t>
  </si>
  <si>
    <t>Utility Structure options: 'Sub-metered' | 'Master-metered' | 'Tenant-paid' | 'Owner-paid' | 'Partial' | 'N/A'</t>
  </si>
  <si>
    <t>RENT COMPARABLES</t>
  </si>
  <si>
    <t>Oak Shadows MHP  |  Enter rent comps manually — all blue cells are inputs  |  March 2026</t>
  </si>
  <si>
    <t>Enter up to 10 rent comparables below. Blue cells = manual inputs. Leave rows blank if unused.</t>
  </si>
  <si>
    <t>Avg Lot Rent
($/mo)</t>
  </si>
  <si>
    <t>Min Lot Rent
($/mo)</t>
  </si>
  <si>
    <t>Max Lot Rent
($/mo)</t>
  </si>
  <si>
    <t>Occupancy
(%)</t>
  </si>
  <si>
    <t>5-YEAR PRO FORMA CASH FLOW</t>
  </si>
  <si>
    <t>Oak Shadows MHP  |  Projected 2026 – 2030  |  Capital Markets as of March 2026</t>
  </si>
  <si>
    <t>KEY ASSUMPTIONS</t>
  </si>
  <si>
    <t>Rent Growth Rate (Annual)</t>
  </si>
  <si>
    <t>Expense Growth Rate</t>
  </si>
  <si>
    <t>Vacancy / Credit Loss</t>
  </si>
  <si>
    <t>Interest Rate (Financing)</t>
  </si>
  <si>
    <t>LTV</t>
  </si>
  <si>
    <t>Exit Cap Rate (Yr 5)</t>
  </si>
  <si>
    <t>Purchase Price (BOV Estimate)</t>
  </si>
  <si>
    <t>← Links to BOV Summary estimated value; override with offer price if needed</t>
  </si>
  <si>
    <t>Note: Interest rate reflects Fannie Mae/Freddie Mac spreads (+2.35%) over 10-yr Treasury (~4.26%) as of March 2026. Rent growth based on Midwest MHP market averages.</t>
  </si>
  <si>
    <t>2026 (Yr 1)</t>
  </si>
  <si>
    <t>2027 (Yr 2)</t>
  </si>
  <si>
    <t>2028 (Yr 3)</t>
  </si>
  <si>
    <t>2029 (Yr 4)</t>
  </si>
  <si>
    <t>2030 (Yr 5)</t>
  </si>
  <si>
    <t xml:space="preserve">    Gross Potential Rental Income</t>
  </si>
  <si>
    <t xml:space="preserve">    Other Income (fees, cable, misc)</t>
  </si>
  <si>
    <t xml:space="preserve">    Utility Income (gross billed)</t>
  </si>
  <si>
    <t>EFFECTIVE GROSS INCOME</t>
  </si>
  <si>
    <t xml:space="preserve">    Total Operating Expenses</t>
  </si>
  <si>
    <t xml:space="preserve">  DEBT SERVICE (65% LTV / 30-yr Amort)</t>
  </si>
  <si>
    <t xml:space="preserve">    Loan Amount (65% LTV)</t>
  </si>
  <si>
    <t xml:space="preserve">    Annual Debt Service (P&amp;I)</t>
  </si>
  <si>
    <t>CASH FLOW AFTER DEBT SERVICE</t>
  </si>
  <si>
    <t xml:space="preserve">    Cash-on-Cash Return</t>
  </si>
  <si>
    <t xml:space="preserve">  YEAR 5 DISPOSITION</t>
  </si>
  <si>
    <t xml:space="preserve">    Year 5 NOI</t>
  </si>
  <si>
    <t xml:space="preserve">    Exit Cap Rate</t>
  </si>
  <si>
    <t xml:space="preserve">    Estimated Sale Price</t>
  </si>
  <si>
    <t xml:space="preserve">    Less: Loan Balance (est)</t>
  </si>
  <si>
    <t xml:space="preserve">    Net Sale Proceeds</t>
  </si>
  <si>
    <t xml:space="preserve">  5-YEAR IRR ANALYSIS</t>
  </si>
  <si>
    <t>Levered IRR based on equity invested (purchase price − loan). Year 0 = initial equity outflow. Year 5 includes cash flow + net sale proceeds.</t>
  </si>
  <si>
    <t>Year 0
(Acquisition)</t>
  </si>
  <si>
    <t>Year 1
2026</t>
  </si>
  <si>
    <t>Year 2
2027</t>
  </si>
  <si>
    <t>Year 3
2028</t>
  </si>
  <si>
    <t>Year 4
2029</t>
  </si>
  <si>
    <t>Year 5
2030</t>
  </si>
  <si>
    <t>Initial Equity / Cash Flows</t>
  </si>
  <si>
    <t>5-YEAR LEVERED IRR</t>
  </si>
  <si>
    <t>Equity Multiple (MOIC)</t>
  </si>
  <si>
    <t>Equity Invested (Down Payment)</t>
  </si>
  <si>
    <t>Total Distributions (CFADS + Sale Proceeds)</t>
  </si>
  <si>
    <t>IRR assumes purchase at BOV estimated value (linked to BOV Summary cap rate). Override purchase price in the KEY ASSUMPTIONS section above. IRR is levered (equity-based). Unlevered IRR (asset-level) would be derived from NOI stream ÷ purchase price.</t>
  </si>
  <si>
    <t>$844-$864</t>
  </si>
  <si>
    <t>Keith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</si>
</sst>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
    <numFmt numFmtId="166" formatCode="\$#,##0;&quot;($&quot;#,##0\);\-"/>
    <numFmt numFmtId="167" formatCode="0.00\x"/>
  </numFmts>
  <fonts count="44" x14ac:knownFonts="1">
    <font>
      <sz val="11"/>
      <color theme="1"/>
      <name val="Calibri"/>
      <charset val="1"/>
    </font>
    <font>
      <b/>
      <sz val="22"/>
      <color rgb="FFC9A84C"/>
      <name val="Arial"/>
      <family val="2"/>
    </font>
    <font>
      <sz val="11"/>
      <color rgb="FFF5E6C1"/>
      <name val="Arial"/>
      <family val="2"/>
    </font>
    <font>
      <sz val="9"/>
      <color rgb="FF7F7F7F"/>
      <name val="Arial"/>
      <family val="2"/>
    </font>
    <font>
      <b/>
      <sz val="8"/>
      <color rgb="FFC9A84C"/>
      <name val="Arial"/>
      <family val="2"/>
    </font>
    <font>
      <sz val="11"/>
      <color rgb="FFEFEFEF"/>
      <name val="Calibri"/>
      <family val="2"/>
    </font>
    <font>
      <b/>
      <sz val="20"/>
      <color rgb="FFFFFFFF"/>
      <name val="Arial"/>
      <family val="2"/>
    </font>
    <font>
      <sz val="8"/>
      <color rgb="FFF5E6C1"/>
      <name val="Arial"/>
      <family val="2"/>
    </font>
    <font>
      <b/>
      <sz val="10"/>
      <color rgb="FFFFFFFF"/>
      <name val="Arial"/>
      <family val="2"/>
    </font>
    <font>
      <b/>
      <sz val="9"/>
      <color rgb="FF1B2A4A"/>
      <name val="Arial"/>
      <family val="2"/>
    </font>
    <font>
      <sz val="9"/>
      <color rgb="FF0000FF"/>
      <name val="Arial"/>
      <family val="2"/>
    </font>
    <font>
      <sz val="9"/>
      <color rgb="FF000000"/>
      <name val="Arial"/>
      <family val="2"/>
    </font>
    <font>
      <sz val="9"/>
      <color rgb="FF3D3D3D"/>
      <name val="Arial"/>
      <family val="2"/>
    </font>
    <font>
      <b/>
      <sz val="9"/>
      <color rgb="FF1E6B3C"/>
      <name val="Arial"/>
      <family val="2"/>
    </font>
    <font>
      <b/>
      <sz val="10"/>
      <color rgb="FF1E6B3C"/>
      <name val="Arial"/>
      <family val="2"/>
    </font>
    <font>
      <b/>
      <sz val="9"/>
      <color rgb="FF0000FF"/>
      <name val="Arial"/>
      <family val="2"/>
    </font>
    <font>
      <b/>
      <sz val="9"/>
      <color rgb="FF000000"/>
      <name val="Arial"/>
      <family val="2"/>
    </font>
    <font>
      <i/>
      <sz val="8"/>
      <color rgb="FF7F7F7F"/>
      <name val="Arial"/>
      <family val="2"/>
    </font>
    <font>
      <b/>
      <sz val="18"/>
      <color rgb="FFC9A84C"/>
      <name val="Arial"/>
      <family val="2"/>
    </font>
    <font>
      <sz val="10"/>
      <color rgb="FFF5E6C1"/>
      <name val="Arial"/>
      <family val="2"/>
    </font>
    <font>
      <i/>
      <sz val="9"/>
      <color rgb="FF7F7F7F"/>
      <name val="Arial"/>
      <family val="2"/>
    </font>
    <font>
      <b/>
      <sz val="9"/>
      <color rgb="FFFFFFFF"/>
      <name val="Arial"/>
      <family val="2"/>
    </font>
    <font>
      <b/>
      <sz val="9"/>
      <color rgb="FFFFFFFF"/>
      <name val="Arial"/>
      <family val="2"/>
      <charset val="1"/>
    </font>
    <font>
      <i/>
      <sz val="8"/>
      <color rgb="FF4B2D8F"/>
      <name val="Arial"/>
      <family val="2"/>
    </font>
    <font>
      <i/>
      <sz val="8"/>
      <color rgb="FF7B5200"/>
      <name val="Arial"/>
      <family val="2"/>
    </font>
    <font>
      <sz val="9"/>
      <color rgb="FF5D4200"/>
      <name val="Arial"/>
      <family val="2"/>
    </font>
    <font>
      <b/>
      <sz val="8"/>
      <color rgb="FFFFFFFF"/>
      <name val="Arial"/>
      <family val="2"/>
    </font>
    <font>
      <b/>
      <sz val="9"/>
      <color rgb="FF7B5200"/>
      <name val="Arial"/>
      <family val="2"/>
    </font>
    <font>
      <b/>
      <sz val="10"/>
      <color rgb="FF0000FF"/>
      <name val="Arial"/>
      <family val="2"/>
    </font>
    <font>
      <b/>
      <sz val="10"/>
      <color rgb="FFC9A84C"/>
      <name val="Arial"/>
      <family val="2"/>
    </font>
    <font>
      <i/>
      <sz val="9"/>
      <color rgb="FF5D4200"/>
      <name val="Arial"/>
      <family val="2"/>
      <charset val="1"/>
    </font>
    <font>
      <i/>
      <sz val="8.5"/>
      <color rgb="FF7B5200"/>
      <name val="Arial"/>
      <family val="2"/>
    </font>
    <font>
      <b/>
      <sz val="12"/>
      <color rgb="FFFFFFFF"/>
      <name val="Arial"/>
      <family val="2"/>
    </font>
    <font>
      <b/>
      <sz val="12"/>
      <color rgb="FFC9A84C"/>
      <name val="Arial"/>
      <family val="2"/>
    </font>
    <font>
      <b/>
      <sz val="9"/>
      <color rgb="FF0070C0"/>
      <name val="Arial"/>
      <family val="2"/>
      <charset val="1"/>
    </font>
    <font>
      <b/>
      <sz val="10"/>
      <color rgb="FF1B2A4A"/>
      <name val="Arial"/>
      <family val="2"/>
    </font>
    <font>
      <b/>
      <sz val="10"/>
      <color rgb="FF000000"/>
      <name val="Arial"/>
      <family val="2"/>
    </font>
    <font>
      <b/>
      <i/>
      <sz val="10"/>
      <color rgb="FFF5E6C1"/>
      <name val="Arial"/>
      <family val="2"/>
    </font>
    <font>
      <b/>
      <sz val="9"/>
      <color rgb="FFC9A84C"/>
      <name val="Arial"/>
      <family val="2"/>
    </font>
    <font>
      <b/>
      <sz val="9"/>
      <color rgb="FF3D3D3D"/>
      <name val="Arial"/>
      <family val="2"/>
    </font>
    <font>
      <sz val="8"/>
      <color rgb="FF7F7F7F"/>
      <name val="Arial"/>
      <family val="2"/>
    </font>
    <font>
      <b/>
      <sz val="13"/>
      <color rgb="FFFFFFFF"/>
      <name val="Arial"/>
      <family val="2"/>
    </font>
    <font>
      <b/>
      <sz val="16"/>
      <color rgb="FFC9A84C"/>
      <name val="Arial"/>
      <family val="2"/>
    </font>
    <font>
      <b/>
      <sz val="11"/>
      <color rgb="FF000000"/>
      <name val="Arial"/>
      <family val="2"/>
    </font>
  </fonts>
  <fills count="19">
    <fill>
      <patternFill patternType="none"/>
    </fill>
    <fill>
      <patternFill patternType="gray125"/>
    </fill>
    <fill>
      <patternFill patternType="solid">
        <fgColor rgb="FF1B2A4A"/>
        <bgColor rgb="FF3D3D3D"/>
      </patternFill>
    </fill>
    <fill>
      <patternFill patternType="solid">
        <fgColor rgb="FF1E6B3C"/>
        <bgColor rgb="FF1A6B5A"/>
      </patternFill>
    </fill>
    <fill>
      <patternFill patternType="solid">
        <fgColor rgb="FFF2F2F2"/>
        <bgColor rgb="FFEFEFEF"/>
      </patternFill>
    </fill>
    <fill>
      <patternFill patternType="solid">
        <fgColor rgb="FFFFFFFF"/>
        <bgColor rgb="FFFFFDE7"/>
      </patternFill>
    </fill>
    <fill>
      <patternFill patternType="solid">
        <fgColor rgb="FFE8F5EE"/>
        <bgColor rgb="FFE8F1F8"/>
      </patternFill>
    </fill>
    <fill>
      <patternFill patternType="solid">
        <fgColor rgb="FFF5E6C1"/>
        <bgColor rgb="FFFFF3CD"/>
      </patternFill>
    </fill>
    <fill>
      <patternFill patternType="solid">
        <fgColor rgb="FF1A6B5A"/>
        <bgColor rgb="FF1E6B3C"/>
      </patternFill>
    </fill>
    <fill>
      <patternFill patternType="solid">
        <fgColor rgb="FF4B2D8F"/>
        <bgColor rgb="FF3D3D3D"/>
      </patternFill>
    </fill>
    <fill>
      <patternFill patternType="solid">
        <fgColor rgb="FF7B5200"/>
        <bgColor rgb="FF5D4200"/>
      </patternFill>
    </fill>
    <fill>
      <patternFill patternType="solid">
        <fgColor rgb="FFEDE8F7"/>
        <bgColor rgb="FFEFEFEF"/>
      </patternFill>
    </fill>
    <fill>
      <patternFill patternType="solid">
        <fgColor rgb="FFFFFDE7"/>
        <bgColor rgb="FFFFFFFF"/>
      </patternFill>
    </fill>
    <fill>
      <patternFill patternType="solid">
        <fgColor rgb="FFFFF3CD"/>
        <bgColor rgb="FFFFFDE7"/>
      </patternFill>
    </fill>
    <fill>
      <patternFill patternType="solid">
        <fgColor rgb="FFD9E4F0"/>
        <bgColor rgb="FFEDE8F7"/>
      </patternFill>
    </fill>
    <fill>
      <patternFill patternType="solid">
        <fgColor rgb="FFE8F1F8"/>
        <bgColor rgb="FFEBF3FB"/>
      </patternFill>
    </fill>
    <fill>
      <patternFill patternType="solid">
        <fgColor rgb="FF8B0000"/>
        <bgColor rgb="FF800000"/>
      </patternFill>
    </fill>
    <fill>
      <patternFill patternType="solid">
        <fgColor rgb="FFEBF3FB"/>
        <bgColor rgb="FFE8F1F8"/>
      </patternFill>
    </fill>
    <fill>
      <patternFill patternType="solid">
        <fgColor rgb="FFC9A84C"/>
        <bgColor rgb="FFFF99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5">
    <xf numFmtId="0" fontId="0" fillId="0" borderId="0" xfId="0"/>
    <xf numFmtId="0" fontId="9" fillId="7" borderId="0" xfId="0" applyFont="1" applyFill="1" applyAlignment="1">
      <alignment horizontal="left" vertical="center"/>
    </xf>
    <xf numFmtId="0" fontId="13" fillId="6" borderId="0" xfId="0" applyFont="1" applyFill="1" applyAlignment="1">
      <alignment horizontal="left" vertical="center"/>
    </xf>
    <xf numFmtId="0" fontId="12" fillId="5" borderId="0" xfId="0" applyFont="1" applyFill="1" applyAlignment="1">
      <alignment horizontal="left" vertical="center"/>
    </xf>
    <xf numFmtId="0" fontId="12" fillId="4" borderId="0" xfId="0" applyFont="1" applyFill="1" applyAlignment="1">
      <alignment horizontal="left" vertical="center"/>
    </xf>
    <xf numFmtId="0" fontId="8" fillId="2" borderId="0" xfId="0" applyFont="1" applyFill="1" applyAlignment="1">
      <alignment horizontal="left" vertical="center"/>
    </xf>
    <xf numFmtId="0" fontId="7" fillId="3" borderId="0" xfId="0" applyFont="1" applyFill="1" applyAlignment="1">
      <alignment horizontal="center" vertical="center"/>
    </xf>
    <xf numFmtId="0" fontId="7" fillId="2" borderId="0" xfId="0" applyFont="1" applyFill="1" applyAlignment="1">
      <alignment horizontal="center" vertical="center"/>
    </xf>
    <xf numFmtId="164" fontId="6" fillId="3" borderId="0" xfId="0" applyNumberFormat="1" applyFont="1" applyFill="1" applyAlignment="1">
      <alignment horizontal="center" vertical="center"/>
    </xf>
    <xf numFmtId="164" fontId="6" fillId="2" borderId="0" xfId="0" applyNumberFormat="1" applyFont="1" applyFill="1" applyAlignment="1">
      <alignment horizontal="center" vertical="center"/>
    </xf>
    <xf numFmtId="0" fontId="4" fillId="3" borderId="0" xfId="0" applyFont="1" applyFill="1" applyAlignment="1">
      <alignment horizontal="center" vertical="center"/>
    </xf>
    <xf numFmtId="0" fontId="4" fillId="2" borderId="0" xfId="0" applyFont="1" applyFill="1" applyAlignment="1">
      <alignment horizontal="center" vertical="center"/>
    </xf>
    <xf numFmtId="0" fontId="3" fillId="2" borderId="0" xfId="0" applyFont="1" applyFill="1" applyAlignment="1">
      <alignment horizontal="center" vertical="center"/>
    </xf>
    <xf numFmtId="0" fontId="2" fillId="2" borderId="0" xfId="0" applyFont="1" applyFill="1" applyAlignment="1">
      <alignment horizontal="center" vertical="center"/>
    </xf>
    <xf numFmtId="0" fontId="1" fillId="2" borderId="0" xfId="0" applyFont="1" applyFill="1" applyAlignment="1">
      <alignment horizontal="center" vertical="center"/>
    </xf>
    <xf numFmtId="164" fontId="5" fillId="0" borderId="0" xfId="0" applyNumberFormat="1" applyFont="1"/>
    <xf numFmtId="0" fontId="8" fillId="2" borderId="0" xfId="0" applyFont="1" applyFill="1" applyAlignment="1">
      <alignment horizontal="left" vertical="center"/>
    </xf>
    <xf numFmtId="0" fontId="9" fillId="4" borderId="0" xfId="0" applyFont="1" applyFill="1" applyAlignment="1">
      <alignment horizontal="left" vertical="center"/>
    </xf>
    <xf numFmtId="0" fontId="10" fillId="4" borderId="0" xfId="0" applyFont="1" applyFill="1" applyAlignment="1">
      <alignment horizontal="right" vertical="center"/>
    </xf>
    <xf numFmtId="0" fontId="9" fillId="5" borderId="0" xfId="0" applyFont="1" applyFill="1" applyAlignment="1">
      <alignment horizontal="left" vertical="center"/>
    </xf>
    <xf numFmtId="0" fontId="10" fillId="5" borderId="0" xfId="0" applyFont="1" applyFill="1" applyAlignment="1">
      <alignment horizontal="right" vertical="center"/>
    </xf>
    <xf numFmtId="0" fontId="10" fillId="4" borderId="0" xfId="0" applyFont="1" applyFill="1" applyAlignment="1">
      <alignment horizontal="left" vertical="center"/>
    </xf>
    <xf numFmtId="165" fontId="11" fillId="4" borderId="0" xfId="0" applyNumberFormat="1" applyFont="1" applyFill="1" applyAlignment="1">
      <alignment horizontal="right" vertical="center"/>
    </xf>
    <xf numFmtId="164" fontId="11" fillId="5" borderId="0" xfId="0" applyNumberFormat="1" applyFont="1" applyFill="1" applyAlignment="1">
      <alignment horizontal="right" vertical="center"/>
    </xf>
    <xf numFmtId="0" fontId="12" fillId="4" borderId="0" xfId="0" applyFont="1" applyFill="1" applyAlignment="1">
      <alignment horizontal="left" vertical="center"/>
    </xf>
    <xf numFmtId="164" fontId="11" fillId="4" borderId="0" xfId="0" applyNumberFormat="1" applyFont="1" applyFill="1" applyAlignment="1">
      <alignment horizontal="right" vertical="center"/>
    </xf>
    <xf numFmtId="0" fontId="12" fillId="5" borderId="0" xfId="0" applyFont="1" applyFill="1" applyAlignment="1">
      <alignment horizontal="left" vertical="center"/>
    </xf>
    <xf numFmtId="164" fontId="14" fillId="6" borderId="0" xfId="0" applyNumberFormat="1" applyFont="1" applyFill="1" applyAlignment="1">
      <alignment horizontal="right" vertical="center"/>
    </xf>
    <xf numFmtId="0" fontId="11" fillId="5" borderId="0" xfId="0" applyFont="1" applyFill="1" applyAlignment="1">
      <alignment horizontal="right" vertical="center"/>
    </xf>
    <xf numFmtId="0" fontId="9" fillId="7" borderId="0" xfId="0" applyFont="1" applyFill="1" applyAlignment="1">
      <alignment horizontal="left" vertical="center"/>
    </xf>
    <xf numFmtId="10" fontId="15" fillId="7" borderId="0" xfId="0" applyNumberFormat="1" applyFont="1" applyFill="1" applyAlignment="1">
      <alignment horizontal="right" vertical="center"/>
    </xf>
    <xf numFmtId="164" fontId="16" fillId="7" borderId="0" xfId="0" applyNumberFormat="1" applyFont="1" applyFill="1" applyAlignment="1">
      <alignment horizontal="right" vertical="center"/>
    </xf>
    <xf numFmtId="0" fontId="0" fillId="2" borderId="0" xfId="0" applyFill="1"/>
    <xf numFmtId="0" fontId="0" fillId="4" borderId="0" xfId="0" applyFill="1"/>
    <xf numFmtId="164" fontId="16" fillId="4" borderId="0" xfId="0" applyNumberFormat="1" applyFont="1" applyFill="1" applyAlignment="1">
      <alignment horizontal="right" vertical="center"/>
    </xf>
    <xf numFmtId="0" fontId="0" fillId="5" borderId="0" xfId="0" applyFill="1"/>
    <xf numFmtId="164" fontId="16" fillId="5" borderId="0" xfId="0" applyNumberFormat="1" applyFont="1" applyFill="1" applyAlignment="1">
      <alignment horizontal="right" vertical="center"/>
    </xf>
    <xf numFmtId="165" fontId="16" fillId="5" borderId="0" xfId="0" applyNumberFormat="1" applyFont="1" applyFill="1" applyAlignment="1">
      <alignment horizontal="right" vertical="center"/>
    </xf>
    <xf numFmtId="10" fontId="16" fillId="4" borderId="0" xfId="0" applyNumberFormat="1" applyFont="1" applyFill="1" applyAlignment="1">
      <alignment horizontal="right" vertical="center"/>
    </xf>
    <xf numFmtId="3" fontId="16" fillId="5" borderId="0" xfId="0" applyNumberFormat="1" applyFont="1" applyFill="1" applyAlignment="1">
      <alignment horizontal="right" vertical="center"/>
    </xf>
    <xf numFmtId="10" fontId="16" fillId="5" borderId="0" xfId="0" applyNumberFormat="1" applyFont="1" applyFill="1" applyAlignment="1">
      <alignment horizontal="right" vertical="center"/>
    </xf>
    <xf numFmtId="0" fontId="17" fillId="0" borderId="0" xfId="0" applyFont="1" applyAlignment="1">
      <alignment horizontal="left" vertical="center" wrapText="1"/>
    </xf>
    <xf numFmtId="0" fontId="20" fillId="2" borderId="0" xfId="0" applyFont="1" applyFill="1"/>
    <xf numFmtId="0" fontId="21" fillId="2" borderId="0" xfId="0" applyFont="1" applyFill="1" applyAlignment="1">
      <alignment horizontal="center" vertical="center"/>
    </xf>
    <xf numFmtId="0" fontId="22" fillId="8" borderId="0" xfId="0" applyFont="1" applyFill="1" applyAlignment="1">
      <alignment horizontal="center" vertical="center"/>
    </xf>
    <xf numFmtId="0" fontId="21" fillId="9" borderId="0" xfId="0" applyFont="1" applyFill="1" applyAlignment="1">
      <alignment horizontal="center" vertical="center"/>
    </xf>
    <xf numFmtId="0" fontId="21" fillId="10" borderId="0" xfId="0" applyFont="1" applyFill="1" applyAlignment="1">
      <alignment horizontal="center" vertical="center"/>
    </xf>
    <xf numFmtId="0" fontId="21" fillId="2" borderId="0" xfId="0" applyFont="1" applyFill="1" applyAlignment="1">
      <alignment horizontal="left" vertical="center"/>
    </xf>
    <xf numFmtId="0" fontId="23" fillId="11" borderId="0" xfId="0" applyFont="1" applyFill="1" applyAlignment="1">
      <alignment horizontal="center" vertical="center"/>
    </xf>
    <xf numFmtId="0" fontId="24" fillId="12" borderId="0" xfId="0" applyFont="1" applyFill="1" applyAlignment="1">
      <alignment horizontal="center" vertical="center"/>
    </xf>
    <xf numFmtId="166" fontId="10" fillId="4" borderId="0" xfId="0" applyNumberFormat="1" applyFont="1" applyFill="1" applyAlignment="1">
      <alignment horizontal="right" vertical="center"/>
    </xf>
    <xf numFmtId="166" fontId="11" fillId="4" borderId="0" xfId="0" applyNumberFormat="1" applyFont="1" applyFill="1" applyAlignment="1">
      <alignment horizontal="right" vertical="center"/>
    </xf>
    <xf numFmtId="0" fontId="25" fillId="12" borderId="0" xfId="0" applyFont="1" applyFill="1" applyAlignment="1">
      <alignment horizontal="left" vertical="center" wrapText="1"/>
    </xf>
    <xf numFmtId="166" fontId="10" fillId="5" borderId="0" xfId="0" applyNumberFormat="1" applyFont="1" applyFill="1" applyAlignment="1">
      <alignment horizontal="right" vertical="center"/>
    </xf>
    <xf numFmtId="166" fontId="11" fillId="5" borderId="0" xfId="0" applyNumberFormat="1" applyFont="1" applyFill="1" applyAlignment="1">
      <alignment horizontal="right" vertical="center"/>
    </xf>
    <xf numFmtId="0" fontId="9" fillId="7" borderId="1" xfId="0" applyFont="1" applyFill="1" applyBorder="1" applyAlignment="1">
      <alignment horizontal="left" vertical="center"/>
    </xf>
    <xf numFmtId="164" fontId="16" fillId="7" borderId="1" xfId="0" applyNumberFormat="1" applyFont="1" applyFill="1" applyBorder="1" applyAlignment="1">
      <alignment horizontal="right" vertical="center"/>
    </xf>
    <xf numFmtId="0" fontId="17" fillId="7" borderId="1" xfId="0" applyFont="1" applyFill="1" applyBorder="1" applyAlignment="1">
      <alignment horizontal="left" vertical="center" wrapText="1"/>
    </xf>
    <xf numFmtId="0" fontId="9" fillId="13" borderId="1" xfId="0" applyFont="1" applyFill="1" applyBorder="1" applyAlignment="1">
      <alignment horizontal="left" vertical="center"/>
    </xf>
    <xf numFmtId="10" fontId="15" fillId="13" borderId="1" xfId="0" applyNumberFormat="1" applyFont="1" applyFill="1" applyBorder="1" applyAlignment="1">
      <alignment horizontal="right" vertical="center"/>
    </xf>
    <xf numFmtId="0" fontId="17" fillId="13" borderId="1" xfId="0" applyFont="1" applyFill="1" applyBorder="1" applyAlignment="1">
      <alignment horizontal="left" vertical="center" wrapText="1"/>
    </xf>
    <xf numFmtId="0" fontId="0" fillId="14" borderId="0" xfId="0" applyFill="1"/>
    <xf numFmtId="0" fontId="9" fillId="14" borderId="0" xfId="0" applyFont="1" applyFill="1" applyAlignment="1">
      <alignment horizontal="left" vertical="center"/>
    </xf>
    <xf numFmtId="0" fontId="12" fillId="15" borderId="0" xfId="0" applyFont="1" applyFill="1" applyAlignment="1">
      <alignment horizontal="left" vertical="center"/>
    </xf>
    <xf numFmtId="166" fontId="10" fillId="15" borderId="0" xfId="0" applyNumberFormat="1" applyFont="1" applyFill="1" applyAlignment="1">
      <alignment horizontal="right" vertical="center"/>
    </xf>
    <xf numFmtId="166" fontId="11" fillId="15" borderId="0" xfId="0" applyNumberFormat="1" applyFont="1" applyFill="1" applyAlignment="1">
      <alignment horizontal="right" vertical="center"/>
    </xf>
    <xf numFmtId="166" fontId="16" fillId="14" borderId="0" xfId="0" applyNumberFormat="1" applyFont="1" applyFill="1" applyAlignment="1">
      <alignment horizontal="right" vertical="center"/>
    </xf>
    <xf numFmtId="0" fontId="0" fillId="13" borderId="0" xfId="0" applyFill="1"/>
    <xf numFmtId="0" fontId="27" fillId="13" borderId="0" xfId="0" applyFont="1" applyFill="1" applyAlignment="1">
      <alignment horizontal="left" vertical="center"/>
    </xf>
    <xf numFmtId="0" fontId="20" fillId="4" borderId="0" xfId="0" applyFont="1" applyFill="1" applyAlignment="1">
      <alignment horizontal="center" vertical="center"/>
    </xf>
    <xf numFmtId="165" fontId="28" fillId="13" borderId="0" xfId="0" applyNumberFormat="1" applyFont="1" applyFill="1" applyAlignment="1">
      <alignment horizontal="center" vertical="center"/>
    </xf>
    <xf numFmtId="0" fontId="24" fillId="12" borderId="0" xfId="0" applyFont="1" applyFill="1" applyAlignment="1">
      <alignment horizontal="left" vertical="center" wrapText="1"/>
    </xf>
    <xf numFmtId="166" fontId="29" fillId="2" borderId="0" xfId="0" applyNumberFormat="1" applyFont="1" applyFill="1" applyAlignment="1">
      <alignment horizontal="right" vertical="center"/>
    </xf>
    <xf numFmtId="0" fontId="30" fillId="12" borderId="0" xfId="0" applyFont="1" applyFill="1" applyAlignment="1">
      <alignment horizontal="left" vertical="center" wrapText="1"/>
    </xf>
    <xf numFmtId="0" fontId="31" fillId="12" borderId="0" xfId="0" applyFont="1" applyFill="1" applyAlignment="1">
      <alignment horizontal="left" vertical="center" wrapText="1"/>
    </xf>
    <xf numFmtId="0" fontId="0" fillId="16" borderId="0" xfId="0" applyFill="1"/>
    <xf numFmtId="0" fontId="8" fillId="16" borderId="0" xfId="0" applyFont="1" applyFill="1" applyAlignment="1">
      <alignment horizontal="left" vertical="center"/>
    </xf>
    <xf numFmtId="166" fontId="8" fillId="16" borderId="0" xfId="0" applyNumberFormat="1" applyFont="1" applyFill="1" applyAlignment="1">
      <alignment horizontal="right" vertical="center"/>
    </xf>
    <xf numFmtId="0" fontId="0" fillId="3" borderId="0" xfId="0" applyFill="1"/>
    <xf numFmtId="0" fontId="32" fillId="3" borderId="0" xfId="0" applyFont="1" applyFill="1" applyAlignment="1">
      <alignment horizontal="left" vertical="center"/>
    </xf>
    <xf numFmtId="166" fontId="33" fillId="3" borderId="0" xfId="0" applyNumberFormat="1" applyFont="1" applyFill="1" applyAlignment="1">
      <alignment horizontal="right" vertical="center"/>
    </xf>
    <xf numFmtId="0" fontId="0" fillId="7" borderId="0" xfId="0" applyFill="1"/>
    <xf numFmtId="10" fontId="34" fillId="7" borderId="0" xfId="0" applyNumberFormat="1" applyFont="1" applyFill="1" applyAlignment="1">
      <alignment horizontal="right" vertical="center"/>
    </xf>
    <xf numFmtId="0" fontId="35" fillId="7" borderId="0" xfId="0" applyFont="1" applyFill="1" applyAlignment="1">
      <alignment horizontal="left" vertical="center"/>
    </xf>
    <xf numFmtId="166" fontId="36" fillId="7" borderId="0" xfId="0" applyNumberFormat="1" applyFont="1" applyFill="1" applyAlignment="1">
      <alignment horizontal="right" vertical="center"/>
    </xf>
    <xf numFmtId="0" fontId="26" fillId="2" borderId="0" xfId="0" applyFont="1" applyFill="1" applyAlignment="1">
      <alignment horizontal="center" vertical="center" wrapText="1"/>
    </xf>
    <xf numFmtId="0" fontId="10" fillId="17" borderId="1" xfId="0" applyFont="1" applyFill="1" applyBorder="1" applyAlignment="1">
      <alignment horizontal="left" vertical="center"/>
    </xf>
    <xf numFmtId="164" fontId="10" fillId="17" borderId="1" xfId="0" applyNumberFormat="1" applyFont="1" applyFill="1" applyBorder="1" applyAlignment="1">
      <alignment horizontal="center" vertical="center"/>
    </xf>
    <xf numFmtId="0" fontId="10" fillId="17" borderId="1" xfId="0" applyFont="1" applyFill="1" applyBorder="1" applyAlignment="1">
      <alignment horizontal="center" vertical="center"/>
    </xf>
    <xf numFmtId="3" fontId="10" fillId="17" borderId="1" xfId="0" applyNumberFormat="1" applyFont="1" applyFill="1" applyBorder="1" applyAlignment="1">
      <alignment horizontal="center" vertical="center"/>
    </xf>
    <xf numFmtId="10" fontId="10" fillId="17" borderId="1" xfId="0" applyNumberFormat="1" applyFont="1" applyFill="1" applyBorder="1" applyAlignment="1">
      <alignment horizontal="center" vertical="center"/>
    </xf>
    <xf numFmtId="164" fontId="38" fillId="2" borderId="0" xfId="0" applyNumberFormat="1" applyFont="1" applyFill="1" applyAlignment="1">
      <alignment horizontal="center" vertical="center"/>
    </xf>
    <xf numFmtId="3" fontId="38" fillId="2" borderId="0" xfId="0" applyNumberFormat="1" applyFont="1" applyFill="1" applyAlignment="1">
      <alignment horizontal="center" vertical="center"/>
    </xf>
    <xf numFmtId="10" fontId="38" fillId="2" borderId="0" xfId="0" applyNumberFormat="1" applyFont="1" applyFill="1" applyAlignment="1">
      <alignment horizontal="center" vertical="center"/>
    </xf>
    <xf numFmtId="3" fontId="16" fillId="7" borderId="0" xfId="0" applyNumberFormat="1" applyFont="1" applyFill="1" applyAlignment="1">
      <alignment horizontal="center" vertical="center"/>
    </xf>
    <xf numFmtId="165" fontId="10" fillId="17" borderId="1" xfId="0" applyNumberFormat="1" applyFont="1" applyFill="1" applyBorder="1" applyAlignment="1">
      <alignment horizontal="center" vertical="center"/>
    </xf>
    <xf numFmtId="165" fontId="38" fillId="2" borderId="0" xfId="0" applyNumberFormat="1" applyFont="1" applyFill="1" applyAlignment="1">
      <alignment horizontal="center" vertical="center"/>
    </xf>
    <xf numFmtId="0" fontId="39" fillId="7" borderId="0" xfId="0" applyFont="1" applyFill="1" applyAlignment="1">
      <alignment horizontal="left" vertical="center"/>
    </xf>
    <xf numFmtId="165" fontId="10" fillId="7" borderId="0" xfId="0" applyNumberFormat="1" applyFont="1" applyFill="1" applyAlignment="1">
      <alignment horizontal="right" vertical="center"/>
    </xf>
    <xf numFmtId="10" fontId="10" fillId="7" borderId="0" xfId="0" applyNumberFormat="1" applyFont="1" applyFill="1" applyAlignment="1">
      <alignment horizontal="right" vertical="center"/>
    </xf>
    <xf numFmtId="0" fontId="40" fillId="0" borderId="0" xfId="0" applyFont="1" applyAlignment="1">
      <alignment horizontal="left" vertical="center"/>
    </xf>
    <xf numFmtId="10" fontId="11" fillId="4" borderId="0" xfId="0" applyNumberFormat="1" applyFont="1" applyFill="1" applyAlignment="1">
      <alignment horizontal="right" vertical="center"/>
    </xf>
    <xf numFmtId="10" fontId="11" fillId="5" borderId="0" xfId="0" applyNumberFormat="1" applyFont="1" applyFill="1" applyAlignment="1">
      <alignment horizontal="right" vertical="center"/>
    </xf>
    <xf numFmtId="166" fontId="16" fillId="7" borderId="0" xfId="0" applyNumberFormat="1" applyFont="1" applyFill="1" applyAlignment="1">
      <alignment horizontal="right" vertical="center"/>
    </xf>
    <xf numFmtId="0" fontId="0" fillId="0" borderId="0" xfId="0"/>
    <xf numFmtId="0" fontId="17" fillId="0" borderId="0" xfId="0" applyFont="1" applyAlignment="1">
      <alignment horizontal="left" vertical="center"/>
    </xf>
    <xf numFmtId="0" fontId="18" fillId="2" borderId="0" xfId="0" applyFont="1" applyFill="1" applyAlignment="1">
      <alignment horizontal="center" vertical="center"/>
    </xf>
    <xf numFmtId="0" fontId="19" fillId="2" borderId="0" xfId="0" applyFont="1" applyFill="1" applyAlignment="1">
      <alignment horizontal="center" vertical="center"/>
    </xf>
    <xf numFmtId="0" fontId="21" fillId="2" borderId="0" xfId="0" applyFont="1" applyFill="1" applyAlignment="1">
      <alignment horizontal="left" vertical="center"/>
    </xf>
    <xf numFmtId="0" fontId="17" fillId="7" borderId="0" xfId="0" applyFont="1" applyFill="1" applyAlignment="1">
      <alignment horizontal="left" vertical="center"/>
    </xf>
    <xf numFmtId="0" fontId="26" fillId="2" borderId="0" xfId="0" applyFont="1" applyFill="1" applyAlignment="1">
      <alignment horizontal="left" vertical="center"/>
    </xf>
    <xf numFmtId="0" fontId="9" fillId="14" borderId="0" xfId="0" applyFont="1" applyFill="1" applyAlignment="1">
      <alignment horizontal="left" vertical="center"/>
    </xf>
    <xf numFmtId="0" fontId="0" fillId="2" borderId="0" xfId="0" applyFill="1"/>
    <xf numFmtId="0" fontId="0" fillId="3" borderId="0" xfId="0" applyFill="1"/>
    <xf numFmtId="0" fontId="37" fillId="2" borderId="0" xfId="0" applyFont="1" applyFill="1" applyAlignment="1">
      <alignment horizontal="center" vertical="center"/>
    </xf>
    <xf numFmtId="0" fontId="9" fillId="18" borderId="0" xfId="0" applyFont="1" applyFill="1" applyAlignment="1">
      <alignment horizontal="left" vertical="center"/>
    </xf>
    <xf numFmtId="0" fontId="33" fillId="2" borderId="0" xfId="0" applyFont="1" applyFill="1" applyAlignment="1">
      <alignment horizontal="left" vertical="center"/>
    </xf>
    <xf numFmtId="0" fontId="41" fillId="3" borderId="0" xfId="0" applyFont="1" applyFill="1" applyAlignment="1">
      <alignment horizontal="left" vertical="center"/>
    </xf>
    <xf numFmtId="10" fontId="42" fillId="3" borderId="0" xfId="0" applyNumberFormat="1" applyFont="1" applyFill="1" applyAlignment="1">
      <alignment horizontal="center" vertical="center"/>
    </xf>
    <xf numFmtId="167" fontId="43" fillId="7" borderId="0" xfId="0" applyNumberFormat="1" applyFont="1" applyFill="1" applyAlignment="1">
      <alignment horizontal="center" vertical="center"/>
    </xf>
    <xf numFmtId="0" fontId="39" fillId="4" borderId="0" xfId="0" applyFont="1" applyFill="1" applyAlignment="1">
      <alignment horizontal="left" vertical="center"/>
    </xf>
    <xf numFmtId="164" fontId="16" fillId="4" borderId="0" xfId="0" applyNumberFormat="1" applyFont="1" applyFill="1" applyAlignment="1">
      <alignment horizontal="center" vertical="center"/>
    </xf>
    <xf numFmtId="0" fontId="39" fillId="5" borderId="0" xfId="0" applyFont="1" applyFill="1" applyAlignment="1">
      <alignment horizontal="left" vertical="center"/>
    </xf>
    <xf numFmtId="164" fontId="16" fillId="5" borderId="0" xfId="0" applyNumberFormat="1" applyFont="1" applyFill="1" applyAlignment="1">
      <alignment horizontal="center" vertical="center"/>
    </xf>
    <xf numFmtId="0" fontId="17"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B0000"/>
      <rgbColor rgb="FF1E6B3C"/>
      <rgbColor rgb="FF000080"/>
      <rgbColor rgb="FF808000"/>
      <rgbColor rgb="FF800080"/>
      <rgbColor rgb="FF1A6B5A"/>
      <rgbColor rgb="FFBFBFBF"/>
      <rgbColor rgb="FF7F7F7F"/>
      <rgbColor rgb="FF9999FF"/>
      <rgbColor rgb="FF993366"/>
      <rgbColor rgb="FFFFFDE7"/>
      <rgbColor rgb="FFE8F5EE"/>
      <rgbColor rgb="FF660066"/>
      <rgbColor rgb="FFFF8080"/>
      <rgbColor rgb="FF0070C0"/>
      <rgbColor rgb="FFD9E4F0"/>
      <rgbColor rgb="FF000080"/>
      <rgbColor rgb="FFFF00FF"/>
      <rgbColor rgb="FFFFFF00"/>
      <rgbColor rgb="FF00FFFF"/>
      <rgbColor rgb="FF800080"/>
      <rgbColor rgb="FF800000"/>
      <rgbColor rgb="FF008080"/>
      <rgbColor rgb="FF0000FF"/>
      <rgbColor rgb="FF00CCFF"/>
      <rgbColor rgb="FFE8F1F8"/>
      <rgbColor rgb="FFEBF3FB"/>
      <rgbColor rgb="FFFFF3CD"/>
      <rgbColor rgb="FFEDE8F7"/>
      <rgbColor rgb="FFEFEFEF"/>
      <rgbColor rgb="FFF2F2F2"/>
      <rgbColor rgb="FFF5E6C1"/>
      <rgbColor rgb="FF3366FF"/>
      <rgbColor rgb="FF33CCCC"/>
      <rgbColor rgb="FF99CC00"/>
      <rgbColor rgb="FFFFCC00"/>
      <rgbColor rgb="FFFF9900"/>
      <rgbColor rgb="FFFF6600"/>
      <rgbColor rgb="FF666699"/>
      <rgbColor rgb="FFC9A84C"/>
      <rgbColor rgb="FF1B2A4A"/>
      <rgbColor rgb="FF339966"/>
      <rgbColor rgb="FF003300"/>
      <rgbColor rgb="FF5D4200"/>
      <rgbColor rgb="FF7B5200"/>
      <rgbColor rgb="FF993366"/>
      <rgbColor rgb="FF4B2D8F"/>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304560</xdr:colOff>
      <xdr:row>1</xdr:row>
      <xdr:rowOff>-360</xdr:rowOff>
    </xdr:from>
    <xdr:to>
      <xdr:col>9</xdr:col>
      <xdr:colOff>183960</xdr:colOff>
      <xdr:row>3</xdr:row>
      <xdr:rowOff>169560</xdr:rowOff>
    </xdr:to>
    <xdr:pic>
      <xdr:nvPicPr>
        <xdr:cNvPr id="2" name="image1.png"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8933400" y="95040"/>
          <a:ext cx="1107720" cy="10746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152280</xdr:colOff>
      <xdr:row>0</xdr:row>
      <xdr:rowOff>66600</xdr:rowOff>
    </xdr:from>
    <xdr:to>
      <xdr:col>5</xdr:col>
      <xdr:colOff>845640</xdr:colOff>
      <xdr:row>2</xdr:row>
      <xdr:rowOff>207720</xdr:rowOff>
    </xdr:to>
    <xdr:pic>
      <xdr:nvPicPr>
        <xdr:cNvPr id="2" name="image1.png"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0855080" y="66600"/>
          <a:ext cx="693360" cy="75060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381090</xdr:colOff>
      <xdr:row>0</xdr:row>
      <xdr:rowOff>0</xdr:rowOff>
    </xdr:from>
    <xdr:to>
      <xdr:col>9</xdr:col>
      <xdr:colOff>463080</xdr:colOff>
      <xdr:row>2</xdr:row>
      <xdr:rowOff>141240</xdr:rowOff>
    </xdr:to>
    <xdr:pic>
      <xdr:nvPicPr>
        <xdr:cNvPr id="2" name="image1.png"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stretch/>
      </xdr:blipFill>
      <xdr:spPr>
        <a:xfrm>
          <a:off x="6981915" y="0"/>
          <a:ext cx="663015" cy="750840"/>
        </a:xfrm>
        <a:prstGeom prst="rect">
          <a:avLst/>
        </a:prstGeom>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9"/>
  <sheetViews>
    <sheetView showGridLines="0" tabSelected="1" zoomScaleNormal="100" workbookViewId="0">
      <selection activeCell="E15" sqref="E15"/>
    </sheetView>
  </sheetViews>
  <sheetFormatPr defaultColWidth="14.42578125" defaultRowHeight="15" x14ac:dyDescent="0.25"/>
  <cols>
    <col min="1" max="1" width="2" customWidth="1"/>
    <col min="2" max="2" width="36.5703125" customWidth="1"/>
    <col min="3" max="3" width="37.85546875" customWidth="1"/>
    <col min="4" max="4" width="2" customWidth="1"/>
    <col min="5" max="5" width="28" customWidth="1"/>
    <col min="6" max="6" width="14" customWidth="1"/>
    <col min="7" max="7" width="2" customWidth="1"/>
    <col min="8" max="26" width="8.7109375" customWidth="1"/>
  </cols>
  <sheetData>
    <row r="1" spans="1:10" ht="7.5" customHeight="1" x14ac:dyDescent="0.25"/>
    <row r="2" spans="1:10" ht="49.5" customHeight="1" x14ac:dyDescent="0.25">
      <c r="A2" s="14" t="s">
        <v>0</v>
      </c>
      <c r="B2" s="14"/>
      <c r="C2" s="14"/>
      <c r="D2" s="14"/>
      <c r="E2" s="14"/>
      <c r="F2" s="14"/>
      <c r="G2" s="14"/>
    </row>
    <row r="3" spans="1:10" ht="21.75" customHeight="1" x14ac:dyDescent="0.25">
      <c r="A3" s="13" t="s">
        <v>1</v>
      </c>
      <c r="B3" s="13"/>
      <c r="C3" s="13"/>
      <c r="D3" s="13"/>
      <c r="E3" s="13"/>
      <c r="F3" s="13"/>
      <c r="G3" s="13"/>
    </row>
    <row r="4" spans="1:10" ht="19.5" customHeight="1" x14ac:dyDescent="0.25">
      <c r="A4" s="12" t="s">
        <v>2</v>
      </c>
      <c r="B4" s="12"/>
      <c r="C4" s="12"/>
      <c r="D4" s="12"/>
      <c r="E4" s="12"/>
      <c r="F4" s="12"/>
      <c r="G4" s="12"/>
    </row>
    <row r="5" spans="1:10" ht="7.5" customHeight="1" x14ac:dyDescent="0.25"/>
    <row r="6" spans="1:10" ht="13.5" customHeight="1" x14ac:dyDescent="0.25">
      <c r="B6" s="11" t="s">
        <v>3</v>
      </c>
      <c r="C6" s="11"/>
      <c r="E6" s="10" t="s">
        <v>4</v>
      </c>
      <c r="F6" s="10"/>
      <c r="J6" s="15">
        <f ca="1">B7</f>
        <v>14438853.870967742</v>
      </c>
    </row>
    <row r="7" spans="1:10" ht="31.5" customHeight="1" x14ac:dyDescent="0.25">
      <c r="B7" s="9">
        <f ca="1">F25</f>
        <v>14438853.870967742</v>
      </c>
      <c r="C7" s="9"/>
      <c r="E7" s="8">
        <f ca="1">'Income Statement'!E63</f>
        <v>721942.69354838715</v>
      </c>
      <c r="F7" s="8"/>
    </row>
    <row r="8" spans="1:10" ht="18" customHeight="1" x14ac:dyDescent="0.25">
      <c r="B8" s="7"/>
      <c r="C8" s="7"/>
      <c r="E8" s="6" t="s">
        <v>5</v>
      </c>
      <c r="F8" s="6"/>
    </row>
    <row r="9" spans="1:10" ht="7.5" customHeight="1" x14ac:dyDescent="0.25"/>
    <row r="10" spans="1:10" ht="18" customHeight="1" x14ac:dyDescent="0.25">
      <c r="B10" s="5" t="s">
        <v>6</v>
      </c>
      <c r="C10" s="5"/>
      <c r="D10" s="5"/>
      <c r="E10" s="5"/>
      <c r="F10" s="5"/>
    </row>
    <row r="11" spans="1:10" ht="15.75" customHeight="1" x14ac:dyDescent="0.25">
      <c r="B11" s="17" t="s">
        <v>7</v>
      </c>
      <c r="C11" s="18" t="s">
        <v>8</v>
      </c>
      <c r="E11" s="17" t="s">
        <v>9</v>
      </c>
      <c r="F11" s="18">
        <v>105</v>
      </c>
    </row>
    <row r="12" spans="1:10" ht="15.75" customHeight="1" x14ac:dyDescent="0.25">
      <c r="B12" s="19" t="s">
        <v>10</v>
      </c>
      <c r="C12" s="20" t="s">
        <v>11</v>
      </c>
      <c r="E12" s="19" t="s">
        <v>12</v>
      </c>
      <c r="F12" s="20">
        <v>105</v>
      </c>
    </row>
    <row r="13" spans="1:10" ht="15.75" customHeight="1" x14ac:dyDescent="0.25">
      <c r="B13" s="17" t="s">
        <v>13</v>
      </c>
      <c r="C13" s="21" t="s">
        <v>14</v>
      </c>
      <c r="E13" s="17" t="s">
        <v>15</v>
      </c>
      <c r="F13" s="22">
        <f>F12/F11</f>
        <v>1</v>
      </c>
    </row>
    <row r="14" spans="1:10" ht="15.75" customHeight="1" x14ac:dyDescent="0.25">
      <c r="B14" s="19" t="s">
        <v>16</v>
      </c>
      <c r="C14" s="18" t="s">
        <v>200</v>
      </c>
      <c r="E14" s="19" t="s">
        <v>17</v>
      </c>
      <c r="F14" s="23">
        <f>'Income Statement'!E7/F11/12</f>
        <v>855.06666666666661</v>
      </c>
    </row>
    <row r="15" spans="1:10" ht="15.75" customHeight="1" x14ac:dyDescent="0.25">
      <c r="B15" s="17" t="s">
        <v>18</v>
      </c>
      <c r="C15" s="18" t="s">
        <v>201</v>
      </c>
      <c r="E15" s="17" t="s">
        <v>19</v>
      </c>
      <c r="F15" s="18">
        <v>2026</v>
      </c>
    </row>
    <row r="17" spans="1:7" ht="18" customHeight="1" x14ac:dyDescent="0.25">
      <c r="B17" s="5" t="s">
        <v>20</v>
      </c>
      <c r="C17" s="5"/>
      <c r="D17" s="5"/>
      <c r="E17" s="5"/>
      <c r="F17" s="5"/>
    </row>
    <row r="18" spans="1:7" ht="15.75" customHeight="1" x14ac:dyDescent="0.25">
      <c r="B18" s="4" t="s">
        <v>21</v>
      </c>
      <c r="C18" s="4"/>
      <c r="D18" s="4"/>
      <c r="E18" s="4"/>
      <c r="F18" s="25">
        <f>'Income Statement'!E7</f>
        <v>1077384</v>
      </c>
    </row>
    <row r="19" spans="1:7" ht="15.75" customHeight="1" x14ac:dyDescent="0.25">
      <c r="B19" s="3" t="s">
        <v>22</v>
      </c>
      <c r="C19" s="3"/>
      <c r="D19" s="3"/>
      <c r="E19" s="3"/>
      <c r="F19" s="23">
        <f>'Income Statement'!E20</f>
        <v>441499.48</v>
      </c>
    </row>
    <row r="20" spans="1:7" ht="15.75" customHeight="1" x14ac:dyDescent="0.25">
      <c r="B20" s="4" t="s">
        <v>23</v>
      </c>
      <c r="C20" s="4"/>
      <c r="D20" s="4"/>
      <c r="E20" s="4"/>
      <c r="F20" s="25">
        <f>'Income Statement'!E23</f>
        <v>1484853.02</v>
      </c>
    </row>
    <row r="21" spans="1:7" ht="15.75" customHeight="1" x14ac:dyDescent="0.25">
      <c r="B21" s="3" t="s">
        <v>24</v>
      </c>
      <c r="C21" s="3"/>
      <c r="D21" s="3"/>
      <c r="E21" s="3"/>
      <c r="F21" s="23">
        <f ca="1">'Income Statement'!E61</f>
        <v>762910.32645161287</v>
      </c>
    </row>
    <row r="22" spans="1:7" ht="15.75" customHeight="1" x14ac:dyDescent="0.25">
      <c r="B22" s="2" t="s">
        <v>25</v>
      </c>
      <c r="C22" s="2"/>
      <c r="D22" s="2"/>
      <c r="E22" s="2"/>
      <c r="F22" s="27">
        <f ca="1">'Income Statement'!E63</f>
        <v>721942.69354838715</v>
      </c>
    </row>
    <row r="23" spans="1:7" ht="15.75" customHeight="1" x14ac:dyDescent="0.25">
      <c r="B23" s="3"/>
      <c r="C23" s="3"/>
      <c r="D23" s="3"/>
      <c r="E23" s="3"/>
      <c r="F23" s="28"/>
    </row>
    <row r="24" spans="1:7" ht="15.75" customHeight="1" x14ac:dyDescent="0.25">
      <c r="B24" s="1" t="s">
        <v>26</v>
      </c>
      <c r="C24" s="1"/>
      <c r="D24" s="1"/>
      <c r="E24" s="1"/>
      <c r="F24" s="30">
        <v>0.05</v>
      </c>
    </row>
    <row r="25" spans="1:7" ht="15.75" customHeight="1" x14ac:dyDescent="0.25">
      <c r="B25" s="1" t="s">
        <v>27</v>
      </c>
      <c r="C25" s="1"/>
      <c r="D25" s="1"/>
      <c r="E25" s="1"/>
      <c r="F25" s="31">
        <f ca="1">F22/F24</f>
        <v>14438853.870967742</v>
      </c>
    </row>
    <row r="26" spans="1:7" ht="15.75" customHeight="1" x14ac:dyDescent="0.25">
      <c r="B26" s="4" t="s">
        <v>28</v>
      </c>
      <c r="C26" s="4"/>
      <c r="D26" s="4"/>
      <c r="E26" s="4"/>
      <c r="F26" s="25">
        <f ca="1">F25/105</f>
        <v>137512.8940092166</v>
      </c>
    </row>
    <row r="27" spans="1:7" ht="15.75" customHeight="1" x14ac:dyDescent="0.25"/>
    <row r="28" spans="1:7" ht="6" customHeight="1" x14ac:dyDescent="0.25">
      <c r="B28" s="104"/>
      <c r="C28" s="104"/>
      <c r="D28" s="104"/>
      <c r="E28" s="104"/>
      <c r="F28" s="104"/>
    </row>
    <row r="29" spans="1:7" ht="18" hidden="1" customHeight="1" x14ac:dyDescent="0.25">
      <c r="A29" s="32"/>
      <c r="B29" s="5" t="s">
        <v>29</v>
      </c>
      <c r="C29" s="5"/>
      <c r="D29" s="5"/>
      <c r="E29" s="5"/>
      <c r="F29" s="5"/>
      <c r="G29" s="32"/>
    </row>
    <row r="30" spans="1:7" ht="15.75" hidden="1" customHeight="1" x14ac:dyDescent="0.25">
      <c r="A30" s="33"/>
      <c r="B30" s="17" t="s">
        <v>30</v>
      </c>
      <c r="C30" s="34" t="str">
        <f>'Sales Comps'!D17</f>
        <v/>
      </c>
      <c r="D30" s="32"/>
      <c r="E30" s="17" t="s">
        <v>31</v>
      </c>
      <c r="F30" s="34" t="str">
        <f>'Rent Comps'!E17</f>
        <v/>
      </c>
      <c r="G30" s="33"/>
    </row>
    <row r="31" spans="1:7" ht="15.75" hidden="1" customHeight="1" x14ac:dyDescent="0.25">
      <c r="A31" s="35"/>
      <c r="B31" s="19" t="s">
        <v>32</v>
      </c>
      <c r="C31" s="36" t="str">
        <f>IFERROR('Sales Comps'!D17/'Sales Comps'!F17,"")</f>
        <v/>
      </c>
      <c r="D31" s="32"/>
      <c r="E31" s="19" t="s">
        <v>33</v>
      </c>
      <c r="F31" s="37" t="str">
        <f>'Rent Comps'!I17</f>
        <v/>
      </c>
      <c r="G31" s="35"/>
    </row>
    <row r="32" spans="1:7" ht="15.75" hidden="1" customHeight="1" x14ac:dyDescent="0.25">
      <c r="A32" s="33"/>
      <c r="B32" s="17" t="s">
        <v>34</v>
      </c>
      <c r="C32" s="38" t="str">
        <f>'Sales Comps'!G17</f>
        <v/>
      </c>
      <c r="D32" s="32"/>
      <c r="E32" s="17" t="s">
        <v>35</v>
      </c>
      <c r="F32" s="34">
        <f>'Income Statement'!C7/105/12</f>
        <v>811.84102380952379</v>
      </c>
      <c r="G32" s="33"/>
    </row>
    <row r="33" spans="1:7" ht="15.75" hidden="1" customHeight="1" x14ac:dyDescent="0.25">
      <c r="A33" s="35"/>
      <c r="B33" s="19" t="s">
        <v>36</v>
      </c>
      <c r="C33" s="39">
        <f>'Sales Comps'!D18</f>
        <v>0</v>
      </c>
      <c r="D33" s="32"/>
      <c r="E33" s="19" t="s">
        <v>37</v>
      </c>
      <c r="F33" s="39">
        <f>'Rent Comps'!E18</f>
        <v>0</v>
      </c>
      <c r="G33" s="35"/>
    </row>
    <row r="34" spans="1:7" ht="15.75" hidden="1" customHeight="1" x14ac:dyDescent="0.25">
      <c r="A34" s="33"/>
      <c r="B34" s="17" t="s">
        <v>38</v>
      </c>
      <c r="C34" s="34">
        <f ca="1">F26</f>
        <v>137512.8940092166</v>
      </c>
      <c r="D34" s="32"/>
      <c r="E34" s="17" t="s">
        <v>39</v>
      </c>
      <c r="F34" s="34" t="str">
        <f>IFERROR('Income Statement'!C7/105/12-'Rent Comps'!E17,"")</f>
        <v/>
      </c>
      <c r="G34" s="33"/>
    </row>
    <row r="35" spans="1:7" ht="15.75" hidden="1" customHeight="1" x14ac:dyDescent="0.25">
      <c r="A35" s="35"/>
      <c r="B35" s="19" t="s">
        <v>40</v>
      </c>
      <c r="C35" s="40">
        <f>F24</f>
        <v>0.05</v>
      </c>
      <c r="D35" s="32"/>
      <c r="E35" s="19" t="s">
        <v>41</v>
      </c>
      <c r="F35" s="36">
        <f>'Income Statement'!D7/105/12</f>
        <v>855.06666666666661</v>
      </c>
      <c r="G35" s="35"/>
    </row>
    <row r="36" spans="1:7" ht="12.75" hidden="1" customHeight="1" x14ac:dyDescent="0.25">
      <c r="B36" s="105" t="s">
        <v>42</v>
      </c>
      <c r="C36" s="105"/>
      <c r="D36" s="105"/>
      <c r="E36" s="105"/>
      <c r="F36" s="105"/>
    </row>
    <row r="37" spans="1:7" ht="15.75" hidden="1" customHeight="1" x14ac:dyDescent="0.25"/>
    <row r="38" spans="1:7" ht="15.75" hidden="1" customHeight="1" x14ac:dyDescent="0.25"/>
    <row r="39" spans="1:7" ht="15.75" customHeight="1" x14ac:dyDescent="0.25"/>
    <row r="40" spans="1:7" ht="15.75" customHeight="1" x14ac:dyDescent="0.25"/>
    <row r="41" spans="1:7" ht="15.75" customHeight="1" x14ac:dyDescent="0.25"/>
    <row r="42" spans="1:7" ht="81.75" customHeight="1" x14ac:dyDescent="0.25">
      <c r="B42" s="41" t="s">
        <v>43</v>
      </c>
    </row>
    <row r="43" spans="1:7" ht="15.75" customHeight="1" x14ac:dyDescent="0.25"/>
    <row r="44" spans="1:7" ht="15.75" customHeight="1" x14ac:dyDescent="0.25"/>
    <row r="45" spans="1:7" ht="15.75" customHeight="1" x14ac:dyDescent="0.25"/>
    <row r="46" spans="1:7" ht="15.75" customHeight="1" x14ac:dyDescent="0.25"/>
    <row r="47" spans="1:7" ht="15.75" customHeight="1" x14ac:dyDescent="0.25"/>
    <row r="48" spans="1:7"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23">
    <mergeCell ref="B28:F28"/>
    <mergeCell ref="B29:F29"/>
    <mergeCell ref="B36:F36"/>
    <mergeCell ref="B22:E22"/>
    <mergeCell ref="B23:E23"/>
    <mergeCell ref="B24:E24"/>
    <mergeCell ref="B25:E25"/>
    <mergeCell ref="B26:E26"/>
    <mergeCell ref="B17:F17"/>
    <mergeCell ref="B18:E18"/>
    <mergeCell ref="B19:E19"/>
    <mergeCell ref="B20:E20"/>
    <mergeCell ref="B21:E21"/>
    <mergeCell ref="B7:C7"/>
    <mergeCell ref="E7:F7"/>
    <mergeCell ref="B8:C8"/>
    <mergeCell ref="E8:F8"/>
    <mergeCell ref="B10:F10"/>
    <mergeCell ref="A2:G2"/>
    <mergeCell ref="A3:G3"/>
    <mergeCell ref="A4:G4"/>
    <mergeCell ref="B6:C6"/>
    <mergeCell ref="E6:F6"/>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showGridLines="0" zoomScaleNormal="100" workbookViewId="0">
      <selection activeCell="B35" sqref="B35"/>
    </sheetView>
  </sheetViews>
  <sheetFormatPr defaultColWidth="14.42578125" defaultRowHeight="15" x14ac:dyDescent="0.25"/>
  <cols>
    <col min="1" max="1" width="2" customWidth="1"/>
    <col min="2" max="2" width="42.7109375" customWidth="1"/>
    <col min="3" max="5" width="35.7109375" customWidth="1"/>
    <col min="6" max="6" width="44.7109375" customWidth="1"/>
    <col min="7" max="7" width="7.85546875" customWidth="1"/>
    <col min="8" max="8" width="35.42578125" customWidth="1"/>
    <col min="9" max="9" width="16.5703125" customWidth="1"/>
    <col min="10" max="10" width="20.85546875" customWidth="1"/>
    <col min="11" max="25" width="3" customWidth="1"/>
  </cols>
  <sheetData>
    <row r="1" spans="1:10" ht="6" customHeight="1" x14ac:dyDescent="0.25">
      <c r="A1" s="32"/>
      <c r="B1" s="32"/>
      <c r="C1" s="32"/>
      <c r="D1" s="32"/>
      <c r="E1" s="32"/>
    </row>
    <row r="2" spans="1:10" ht="42" customHeight="1" x14ac:dyDescent="0.25">
      <c r="A2" s="106" t="s">
        <v>44</v>
      </c>
      <c r="B2" s="106"/>
      <c r="C2" s="106"/>
      <c r="D2" s="106"/>
      <c r="E2" s="106"/>
    </row>
    <row r="3" spans="1:10" ht="18" customHeight="1" x14ac:dyDescent="0.25">
      <c r="A3" s="107" t="s">
        <v>45</v>
      </c>
      <c r="B3" s="107"/>
      <c r="C3" s="107"/>
      <c r="D3" s="107"/>
      <c r="E3" s="107"/>
    </row>
    <row r="4" spans="1:10" ht="7.5" customHeight="1" x14ac:dyDescent="0.25">
      <c r="A4" s="42" t="s">
        <v>46</v>
      </c>
      <c r="B4" s="32"/>
      <c r="C4" s="32"/>
      <c r="D4" s="32"/>
      <c r="E4" s="32"/>
    </row>
    <row r="5" spans="1:10" ht="18" customHeight="1" x14ac:dyDescent="0.25">
      <c r="A5" s="32"/>
      <c r="B5" s="43" t="s">
        <v>47</v>
      </c>
      <c r="C5" s="43" t="s">
        <v>48</v>
      </c>
      <c r="D5" s="44" t="s">
        <v>49</v>
      </c>
      <c r="E5" s="45" t="s">
        <v>50</v>
      </c>
      <c r="F5" s="46" t="s">
        <v>51</v>
      </c>
      <c r="H5" s="108" t="s">
        <v>52</v>
      </c>
      <c r="I5" s="108"/>
      <c r="J5" s="108"/>
    </row>
    <row r="6" spans="1:10" ht="12.75" customHeight="1" x14ac:dyDescent="0.25">
      <c r="A6" s="32"/>
      <c r="B6" s="5" t="s">
        <v>53</v>
      </c>
      <c r="C6" s="5"/>
      <c r="D6" s="5"/>
      <c r="E6" s="48" t="s">
        <v>54</v>
      </c>
      <c r="F6" s="49" t="s">
        <v>55</v>
      </c>
      <c r="H6" s="109" t="s">
        <v>56</v>
      </c>
      <c r="I6" s="109"/>
      <c r="J6" s="109"/>
    </row>
    <row r="7" spans="1:10" ht="12.75" customHeight="1" x14ac:dyDescent="0.25">
      <c r="B7" s="24" t="s">
        <v>57</v>
      </c>
      <c r="C7" s="50">
        <v>1022919.69</v>
      </c>
      <c r="D7" s="51">
        <f>89782*12</f>
        <v>1077384</v>
      </c>
      <c r="E7" s="51">
        <f t="shared" ref="E7:E13" si="0">D7</f>
        <v>1077384</v>
      </c>
      <c r="F7" s="52"/>
      <c r="H7" s="110" t="s">
        <v>58</v>
      </c>
      <c r="I7" s="110"/>
      <c r="J7" s="110"/>
    </row>
    <row r="8" spans="1:10" ht="12.75" customHeight="1" x14ac:dyDescent="0.25">
      <c r="B8" s="26" t="s">
        <v>59</v>
      </c>
      <c r="C8" s="53">
        <v>2175</v>
      </c>
      <c r="D8" s="54">
        <f t="shared" ref="D8:D13" si="1">C8</f>
        <v>2175</v>
      </c>
      <c r="E8" s="54">
        <f t="shared" si="0"/>
        <v>2175</v>
      </c>
      <c r="F8" s="52"/>
      <c r="H8" s="55" t="s">
        <v>60</v>
      </c>
      <c r="I8" s="56">
        <f ca="1">'BOV Summary'!F25</f>
        <v>14438853.870967742</v>
      </c>
      <c r="J8" s="57" t="s">
        <v>61</v>
      </c>
    </row>
    <row r="9" spans="1:10" ht="12.75" customHeight="1" x14ac:dyDescent="0.25">
      <c r="B9" s="24" t="s">
        <v>62</v>
      </c>
      <c r="C9" s="50">
        <v>425</v>
      </c>
      <c r="D9" s="51">
        <f t="shared" si="1"/>
        <v>425</v>
      </c>
      <c r="E9" s="51">
        <f t="shared" si="0"/>
        <v>425</v>
      </c>
      <c r="F9" s="52"/>
      <c r="H9" s="58" t="s">
        <v>63</v>
      </c>
      <c r="I9" s="59">
        <v>1.2E-2</v>
      </c>
      <c r="J9" s="60" t="s">
        <v>64</v>
      </c>
    </row>
    <row r="10" spans="1:10" ht="12.75" customHeight="1" x14ac:dyDescent="0.25">
      <c r="B10" s="26" t="s">
        <v>65</v>
      </c>
      <c r="C10" s="53">
        <v>30</v>
      </c>
      <c r="D10" s="54">
        <f t="shared" si="1"/>
        <v>30</v>
      </c>
      <c r="E10" s="54">
        <f t="shared" si="0"/>
        <v>30</v>
      </c>
      <c r="F10" s="52"/>
      <c r="H10" s="55" t="s">
        <v>66</v>
      </c>
      <c r="I10" s="56">
        <f ca="1">I8*I9</f>
        <v>173266.24645161291</v>
      </c>
      <c r="J10" s="57" t="s">
        <v>67</v>
      </c>
    </row>
    <row r="11" spans="1:10" ht="12.75" customHeight="1" x14ac:dyDescent="0.25">
      <c r="B11" s="24" t="s">
        <v>68</v>
      </c>
      <c r="C11" s="50">
        <v>-6935.7</v>
      </c>
      <c r="D11" s="51">
        <f t="shared" si="1"/>
        <v>-6935.7</v>
      </c>
      <c r="E11" s="51">
        <f t="shared" si="0"/>
        <v>-6935.7</v>
      </c>
      <c r="F11" s="52"/>
    </row>
    <row r="12" spans="1:10" ht="12.75" customHeight="1" x14ac:dyDescent="0.25">
      <c r="B12" s="26" t="s">
        <v>69</v>
      </c>
      <c r="C12" s="53">
        <v>1996.76</v>
      </c>
      <c r="D12" s="54">
        <f t="shared" si="1"/>
        <v>1996.76</v>
      </c>
      <c r="E12" s="54">
        <f t="shared" si="0"/>
        <v>1996.76</v>
      </c>
      <c r="F12" s="52"/>
      <c r="H12" s="110" t="s">
        <v>70</v>
      </c>
      <c r="I12" s="110"/>
      <c r="J12" s="110"/>
    </row>
    <row r="13" spans="1:10" ht="12.75" customHeight="1" x14ac:dyDescent="0.25">
      <c r="B13" s="24" t="s">
        <v>71</v>
      </c>
      <c r="C13" s="50">
        <v>600</v>
      </c>
      <c r="D13" s="51">
        <f t="shared" si="1"/>
        <v>600</v>
      </c>
      <c r="E13" s="51">
        <f t="shared" si="0"/>
        <v>600</v>
      </c>
      <c r="F13" s="52"/>
      <c r="H13" s="58" t="s">
        <v>72</v>
      </c>
      <c r="I13" s="59">
        <v>0.03</v>
      </c>
      <c r="J13" s="60" t="s">
        <v>73</v>
      </c>
    </row>
    <row r="14" spans="1:10" ht="12.75" customHeight="1" x14ac:dyDescent="0.25">
      <c r="A14" s="61"/>
      <c r="B14" s="111" t="s">
        <v>74</v>
      </c>
      <c r="C14" s="111"/>
      <c r="D14" s="111"/>
      <c r="E14" s="61"/>
      <c r="F14" s="61"/>
    </row>
    <row r="15" spans="1:10" ht="12.75" customHeight="1" x14ac:dyDescent="0.25">
      <c r="B15" s="63" t="s">
        <v>75</v>
      </c>
      <c r="C15" s="64">
        <v>96917.72</v>
      </c>
      <c r="D15" s="65">
        <f t="shared" ref="D15:E19" si="2">C15</f>
        <v>96917.72</v>
      </c>
      <c r="E15" s="65">
        <f t="shared" si="2"/>
        <v>96917.72</v>
      </c>
      <c r="F15" s="52"/>
    </row>
    <row r="16" spans="1:10" ht="12.75" customHeight="1" x14ac:dyDescent="0.25">
      <c r="B16" s="26" t="s">
        <v>76</v>
      </c>
      <c r="C16" s="53">
        <v>28005.67</v>
      </c>
      <c r="D16" s="54">
        <f t="shared" si="2"/>
        <v>28005.67</v>
      </c>
      <c r="E16" s="54">
        <f t="shared" si="2"/>
        <v>28005.67</v>
      </c>
      <c r="F16" s="52"/>
    </row>
    <row r="17" spans="1:6" ht="12.75" customHeight="1" x14ac:dyDescent="0.25">
      <c r="B17" s="63" t="s">
        <v>77</v>
      </c>
      <c r="C17" s="64">
        <v>96379.01</v>
      </c>
      <c r="D17" s="65">
        <f t="shared" si="2"/>
        <v>96379.01</v>
      </c>
      <c r="E17" s="65">
        <f t="shared" si="2"/>
        <v>96379.01</v>
      </c>
      <c r="F17" s="52"/>
    </row>
    <row r="18" spans="1:6" ht="12.75" customHeight="1" x14ac:dyDescent="0.25">
      <c r="B18" s="26" t="s">
        <v>78</v>
      </c>
      <c r="C18" s="53">
        <v>64778.75</v>
      </c>
      <c r="D18" s="54">
        <f t="shared" si="2"/>
        <v>64778.75</v>
      </c>
      <c r="E18" s="54">
        <f t="shared" si="2"/>
        <v>64778.75</v>
      </c>
      <c r="F18" s="52"/>
    </row>
    <row r="19" spans="1:6" ht="12.75" customHeight="1" x14ac:dyDescent="0.25">
      <c r="B19" s="63" t="s">
        <v>79</v>
      </c>
      <c r="C19" s="64">
        <v>155418.32999999999</v>
      </c>
      <c r="D19" s="65">
        <f t="shared" si="2"/>
        <v>155418.32999999999</v>
      </c>
      <c r="E19" s="65">
        <f t="shared" si="2"/>
        <v>155418.32999999999</v>
      </c>
      <c r="F19" s="52"/>
    </row>
    <row r="20" spans="1:6" ht="15.75" customHeight="1" x14ac:dyDescent="0.25">
      <c r="A20" s="61"/>
      <c r="B20" s="62" t="s">
        <v>80</v>
      </c>
      <c r="C20" s="66">
        <f>SUM(C15:C19)</f>
        <v>441499.48</v>
      </c>
      <c r="D20" s="66">
        <f>D15+D16+D17+D18+D19</f>
        <v>441499.48</v>
      </c>
      <c r="E20" s="66">
        <f>E15+E16+E17+E18+E19</f>
        <v>441499.48</v>
      </c>
      <c r="F20" s="61"/>
    </row>
    <row r="21" spans="1:6" ht="25.5" customHeight="1" x14ac:dyDescent="0.25">
      <c r="A21" s="67"/>
      <c r="B21" s="68" t="s">
        <v>81</v>
      </c>
      <c r="C21" s="69" t="s">
        <v>82</v>
      </c>
      <c r="D21" s="69" t="s">
        <v>82</v>
      </c>
      <c r="E21" s="70">
        <v>0.03</v>
      </c>
      <c r="F21" s="71" t="s">
        <v>83</v>
      </c>
    </row>
    <row r="22" spans="1:6" ht="15.75" customHeight="1" x14ac:dyDescent="0.25">
      <c r="A22" s="32"/>
      <c r="B22" s="32"/>
      <c r="C22" s="32"/>
      <c r="D22" s="32"/>
      <c r="E22" s="32"/>
      <c r="F22" s="32"/>
    </row>
    <row r="23" spans="1:6" ht="19.5" customHeight="1" x14ac:dyDescent="0.25">
      <c r="A23" s="32"/>
      <c r="B23" s="16" t="s">
        <v>84</v>
      </c>
      <c r="C23" s="72">
        <f>SUM(C7:C13)+C20</f>
        <v>1462710.23</v>
      </c>
      <c r="D23" s="72">
        <f>SUM(D7:D13)+D20</f>
        <v>1517174.54</v>
      </c>
      <c r="E23" s="72">
        <f>SUM(E7:E13)+E20-(E21*E7)</f>
        <v>1484853.02</v>
      </c>
      <c r="F23" s="32"/>
    </row>
    <row r="24" spans="1:6" ht="18" customHeight="1" x14ac:dyDescent="0.25">
      <c r="A24" s="32"/>
      <c r="B24" s="112"/>
      <c r="C24" s="112"/>
      <c r="D24" s="112"/>
      <c r="E24" s="32"/>
      <c r="F24" s="32"/>
    </row>
    <row r="25" spans="1:6" ht="15.75" customHeight="1" x14ac:dyDescent="0.25">
      <c r="A25" s="32"/>
      <c r="B25" s="5" t="s">
        <v>85</v>
      </c>
      <c r="C25" s="5"/>
      <c r="D25" s="5"/>
      <c r="E25" s="32"/>
      <c r="F25" s="32"/>
    </row>
    <row r="26" spans="1:6" ht="18" customHeight="1" x14ac:dyDescent="0.25">
      <c r="A26" s="61"/>
      <c r="B26" s="62" t="s">
        <v>86</v>
      </c>
      <c r="E26" s="61"/>
      <c r="F26" s="61"/>
    </row>
    <row r="27" spans="1:6" ht="18" customHeight="1" x14ac:dyDescent="0.25">
      <c r="B27" s="24" t="s">
        <v>87</v>
      </c>
      <c r="C27" s="50">
        <v>92358.36</v>
      </c>
      <c r="D27" s="51">
        <f t="shared" ref="D27:E31" si="3">C27</f>
        <v>92358.36</v>
      </c>
      <c r="E27" s="50">
        <f t="shared" si="3"/>
        <v>92358.36</v>
      </c>
      <c r="F27" s="52"/>
    </row>
    <row r="28" spans="1:6" ht="18" customHeight="1" x14ac:dyDescent="0.25">
      <c r="B28" s="26" t="s">
        <v>88</v>
      </c>
      <c r="C28" s="53">
        <v>32070.37</v>
      </c>
      <c r="D28" s="54">
        <f t="shared" si="3"/>
        <v>32070.37</v>
      </c>
      <c r="E28" s="53">
        <f t="shared" si="3"/>
        <v>32070.37</v>
      </c>
      <c r="F28" s="52"/>
    </row>
    <row r="29" spans="1:6" ht="18" customHeight="1" x14ac:dyDescent="0.25">
      <c r="B29" s="24" t="s">
        <v>89</v>
      </c>
      <c r="C29" s="50">
        <v>97860</v>
      </c>
      <c r="D29" s="51">
        <f t="shared" si="3"/>
        <v>97860</v>
      </c>
      <c r="E29" s="50">
        <f t="shared" si="3"/>
        <v>97860</v>
      </c>
      <c r="F29" s="52"/>
    </row>
    <row r="30" spans="1:6" ht="18" customHeight="1" x14ac:dyDescent="0.25">
      <c r="B30" s="26" t="s">
        <v>90</v>
      </c>
      <c r="C30" s="53">
        <v>174906.94</v>
      </c>
      <c r="D30" s="54">
        <f t="shared" si="3"/>
        <v>174906.94</v>
      </c>
      <c r="E30" s="53">
        <f t="shared" si="3"/>
        <v>174906.94</v>
      </c>
      <c r="F30" s="52"/>
    </row>
    <row r="31" spans="1:6" ht="15.75" customHeight="1" x14ac:dyDescent="0.25">
      <c r="B31" s="24" t="s">
        <v>91</v>
      </c>
      <c r="C31" s="50">
        <v>39616.82</v>
      </c>
      <c r="D31" s="51">
        <f t="shared" si="3"/>
        <v>39616.82</v>
      </c>
      <c r="E31" s="50">
        <f t="shared" si="3"/>
        <v>39616.82</v>
      </c>
      <c r="F31" s="52"/>
    </row>
    <row r="32" spans="1:6" ht="20.25" customHeight="1" x14ac:dyDescent="0.25">
      <c r="A32" s="61"/>
      <c r="B32" s="62" t="s">
        <v>92</v>
      </c>
      <c r="C32" s="66">
        <f>SUM(C27:C31)</f>
        <v>436812.49</v>
      </c>
      <c r="D32" s="66">
        <f>D26+D27+D28+D29+D30</f>
        <v>397195.67</v>
      </c>
      <c r="E32" s="66">
        <f>E26+E27+E28+E29+E30</f>
        <v>397195.67</v>
      </c>
      <c r="F32" s="61"/>
    </row>
    <row r="33" spans="1:6" ht="18" customHeight="1" x14ac:dyDescent="0.25">
      <c r="A33" s="32"/>
      <c r="B33" s="32"/>
      <c r="C33" s="32"/>
      <c r="D33" s="32"/>
      <c r="E33" s="32"/>
      <c r="F33" s="32"/>
    </row>
    <row r="34" spans="1:6" ht="18" customHeight="1" x14ac:dyDescent="0.25">
      <c r="B34" s="24" t="s">
        <v>93</v>
      </c>
      <c r="C34" s="50">
        <v>1181.58</v>
      </c>
      <c r="D34" s="51">
        <f t="shared" ref="D34:E37" si="4">C34</f>
        <v>1181.58</v>
      </c>
      <c r="E34" s="50">
        <f t="shared" si="4"/>
        <v>1181.58</v>
      </c>
      <c r="F34" s="52"/>
    </row>
    <row r="35" spans="1:6" ht="18" customHeight="1" x14ac:dyDescent="0.25">
      <c r="B35" s="26" t="s">
        <v>94</v>
      </c>
      <c r="C35" s="53">
        <v>1597.71</v>
      </c>
      <c r="D35" s="51">
        <f t="shared" si="4"/>
        <v>1597.71</v>
      </c>
      <c r="E35" s="50">
        <f t="shared" si="4"/>
        <v>1597.71</v>
      </c>
      <c r="F35" s="52"/>
    </row>
    <row r="36" spans="1:6" ht="18" customHeight="1" x14ac:dyDescent="0.25">
      <c r="B36" s="24" t="s">
        <v>95</v>
      </c>
      <c r="C36" s="50">
        <v>2148.9</v>
      </c>
      <c r="D36" s="51">
        <f t="shared" si="4"/>
        <v>2148.9</v>
      </c>
      <c r="E36" s="50">
        <f t="shared" si="4"/>
        <v>2148.9</v>
      </c>
      <c r="F36" s="52"/>
    </row>
    <row r="37" spans="1:6" ht="18" customHeight="1" x14ac:dyDescent="0.25">
      <c r="B37" s="26" t="s">
        <v>96</v>
      </c>
      <c r="C37" s="53">
        <v>1813.77</v>
      </c>
      <c r="D37" s="51">
        <f t="shared" si="4"/>
        <v>1813.77</v>
      </c>
      <c r="E37" s="50">
        <f t="shared" si="4"/>
        <v>1813.77</v>
      </c>
      <c r="F37" s="52"/>
    </row>
    <row r="38" spans="1:6" ht="18" customHeight="1" x14ac:dyDescent="0.25">
      <c r="B38" s="24" t="s">
        <v>97</v>
      </c>
      <c r="C38" s="50">
        <v>34011.35</v>
      </c>
      <c r="D38" s="51">
        <f t="shared" ref="D38:D59" si="5">C38</f>
        <v>34011.35</v>
      </c>
      <c r="E38" s="50">
        <v>50000</v>
      </c>
      <c r="F38" s="73" t="s">
        <v>98</v>
      </c>
    </row>
    <row r="39" spans="1:6" ht="18" customHeight="1" x14ac:dyDescent="0.25">
      <c r="B39" s="26" t="s">
        <v>99</v>
      </c>
      <c r="C39" s="53">
        <v>2428.15</v>
      </c>
      <c r="D39" s="51">
        <f t="shared" si="5"/>
        <v>2428.15</v>
      </c>
      <c r="E39" s="50">
        <f t="shared" ref="E39:E47" si="6">D39</f>
        <v>2428.15</v>
      </c>
      <c r="F39" s="52"/>
    </row>
    <row r="40" spans="1:6" ht="18" customHeight="1" x14ac:dyDescent="0.25">
      <c r="B40" s="24" t="s">
        <v>100</v>
      </c>
      <c r="C40" s="50">
        <v>690</v>
      </c>
      <c r="D40" s="51">
        <f t="shared" si="5"/>
        <v>690</v>
      </c>
      <c r="E40" s="50">
        <f t="shared" si="6"/>
        <v>690</v>
      </c>
      <c r="F40" s="52"/>
    </row>
    <row r="41" spans="1:6" ht="18" customHeight="1" x14ac:dyDescent="0.25">
      <c r="B41" s="26" t="s">
        <v>101</v>
      </c>
      <c r="C41" s="53">
        <v>297.16000000000003</v>
      </c>
      <c r="D41" s="51">
        <f t="shared" si="5"/>
        <v>297.16000000000003</v>
      </c>
      <c r="E41" s="50">
        <f t="shared" si="6"/>
        <v>297.16000000000003</v>
      </c>
      <c r="F41" s="52"/>
    </row>
    <row r="42" spans="1:6" ht="18" customHeight="1" x14ac:dyDescent="0.25">
      <c r="B42" s="24" t="s">
        <v>102</v>
      </c>
      <c r="C42" s="50">
        <v>2730.6</v>
      </c>
      <c r="D42" s="51">
        <f t="shared" si="5"/>
        <v>2730.6</v>
      </c>
      <c r="E42" s="50">
        <f t="shared" si="6"/>
        <v>2730.6</v>
      </c>
      <c r="F42" s="52"/>
    </row>
    <row r="43" spans="1:6" ht="18" customHeight="1" x14ac:dyDescent="0.25">
      <c r="B43" s="26" t="s">
        <v>103</v>
      </c>
      <c r="C43" s="53">
        <v>5581.16</v>
      </c>
      <c r="D43" s="51">
        <f t="shared" si="5"/>
        <v>5581.16</v>
      </c>
      <c r="E43" s="50">
        <f t="shared" si="6"/>
        <v>5581.16</v>
      </c>
      <c r="F43" s="52"/>
    </row>
    <row r="44" spans="1:6" ht="18" customHeight="1" x14ac:dyDescent="0.25">
      <c r="B44" s="24" t="s">
        <v>104</v>
      </c>
      <c r="C44" s="50">
        <v>350</v>
      </c>
      <c r="D44" s="51">
        <f t="shared" si="5"/>
        <v>350</v>
      </c>
      <c r="E44" s="50">
        <f t="shared" si="6"/>
        <v>350</v>
      </c>
      <c r="F44" s="52"/>
    </row>
    <row r="45" spans="1:6" ht="18" customHeight="1" x14ac:dyDescent="0.25">
      <c r="B45" s="26" t="s">
        <v>105</v>
      </c>
      <c r="C45" s="53">
        <v>454.62</v>
      </c>
      <c r="D45" s="51">
        <f t="shared" si="5"/>
        <v>454.62</v>
      </c>
      <c r="E45" s="50">
        <f t="shared" si="6"/>
        <v>454.62</v>
      </c>
      <c r="F45" s="52"/>
    </row>
    <row r="46" spans="1:6" ht="18" customHeight="1" x14ac:dyDescent="0.25">
      <c r="B46" s="24" t="s">
        <v>106</v>
      </c>
      <c r="C46" s="50">
        <v>440</v>
      </c>
      <c r="D46" s="51">
        <f t="shared" si="5"/>
        <v>440</v>
      </c>
      <c r="E46" s="50">
        <f t="shared" si="6"/>
        <v>440</v>
      </c>
      <c r="F46" s="52"/>
    </row>
    <row r="47" spans="1:6" ht="18" customHeight="1" x14ac:dyDescent="0.25">
      <c r="B47" s="26" t="s">
        <v>107</v>
      </c>
      <c r="C47" s="53">
        <v>190</v>
      </c>
      <c r="D47" s="51">
        <f t="shared" si="5"/>
        <v>190</v>
      </c>
      <c r="E47" s="50">
        <f t="shared" si="6"/>
        <v>190</v>
      </c>
      <c r="F47" s="52"/>
    </row>
    <row r="48" spans="1:6" ht="18" customHeight="1" x14ac:dyDescent="0.25">
      <c r="B48" s="24" t="s">
        <v>108</v>
      </c>
      <c r="C48" s="50">
        <v>97948.83</v>
      </c>
      <c r="D48" s="51">
        <f t="shared" si="5"/>
        <v>97948.83</v>
      </c>
      <c r="E48" s="51">
        <f ca="1">I8*I9</f>
        <v>173266.24645161291</v>
      </c>
      <c r="F48" s="74" t="s">
        <v>109</v>
      </c>
    </row>
    <row r="49" spans="1:6" ht="18" customHeight="1" x14ac:dyDescent="0.25">
      <c r="B49" s="26" t="s">
        <v>110</v>
      </c>
      <c r="C49" s="53">
        <v>7806.66</v>
      </c>
      <c r="D49" s="51">
        <f t="shared" si="5"/>
        <v>7806.66</v>
      </c>
      <c r="E49" s="50"/>
      <c r="F49" s="73" t="s">
        <v>111</v>
      </c>
    </row>
    <row r="50" spans="1:6" ht="18" customHeight="1" x14ac:dyDescent="0.25">
      <c r="B50" s="24" t="s">
        <v>112</v>
      </c>
      <c r="C50" s="50">
        <v>6237.35</v>
      </c>
      <c r="D50" s="51">
        <f t="shared" si="5"/>
        <v>6237.35</v>
      </c>
      <c r="E50" s="50">
        <v>2500</v>
      </c>
      <c r="F50" s="73" t="s">
        <v>113</v>
      </c>
    </row>
    <row r="51" spans="1:6" ht="18" customHeight="1" x14ac:dyDescent="0.25">
      <c r="B51" s="26" t="s">
        <v>114</v>
      </c>
      <c r="C51" s="53">
        <v>2254.7199999999998</v>
      </c>
      <c r="D51" s="51">
        <f t="shared" si="5"/>
        <v>2254.7199999999998</v>
      </c>
      <c r="E51" s="50">
        <f t="shared" ref="E51:E59" si="7">D51</f>
        <v>2254.7199999999998</v>
      </c>
      <c r="F51" s="52"/>
    </row>
    <row r="52" spans="1:6" ht="18" customHeight="1" x14ac:dyDescent="0.25">
      <c r="B52" s="24" t="s">
        <v>115</v>
      </c>
      <c r="C52" s="50">
        <v>297.55</v>
      </c>
      <c r="D52" s="51">
        <f t="shared" si="5"/>
        <v>297.55</v>
      </c>
      <c r="E52" s="50">
        <f t="shared" si="7"/>
        <v>297.55</v>
      </c>
      <c r="F52" s="52"/>
    </row>
    <row r="53" spans="1:6" ht="18" customHeight="1" x14ac:dyDescent="0.25">
      <c r="B53" s="26" t="s">
        <v>116</v>
      </c>
      <c r="C53" s="53">
        <v>8096.05</v>
      </c>
      <c r="D53" s="51">
        <f t="shared" si="5"/>
        <v>8096.05</v>
      </c>
      <c r="E53" s="50">
        <f t="shared" si="7"/>
        <v>8096.05</v>
      </c>
      <c r="F53" s="52"/>
    </row>
    <row r="54" spans="1:6" ht="18" customHeight="1" x14ac:dyDescent="0.25">
      <c r="B54" s="24" t="s">
        <v>117</v>
      </c>
      <c r="C54" s="50">
        <v>133.19999999999999</v>
      </c>
      <c r="D54" s="51">
        <f t="shared" si="5"/>
        <v>133.19999999999999</v>
      </c>
      <c r="E54" s="50">
        <f t="shared" si="7"/>
        <v>133.19999999999999</v>
      </c>
      <c r="F54" s="52"/>
    </row>
    <row r="55" spans="1:6" ht="18" customHeight="1" x14ac:dyDescent="0.25">
      <c r="B55" s="26" t="s">
        <v>118</v>
      </c>
      <c r="C55" s="53">
        <v>38400</v>
      </c>
      <c r="D55" s="51">
        <f t="shared" si="5"/>
        <v>38400</v>
      </c>
      <c r="E55" s="50">
        <f t="shared" si="7"/>
        <v>38400</v>
      </c>
      <c r="F55" s="52"/>
    </row>
    <row r="56" spans="1:6" ht="18" customHeight="1" x14ac:dyDescent="0.25">
      <c r="B56" s="24" t="s">
        <v>119</v>
      </c>
      <c r="C56" s="50">
        <v>26336</v>
      </c>
      <c r="D56" s="51">
        <f t="shared" si="5"/>
        <v>26336</v>
      </c>
      <c r="E56" s="50">
        <f t="shared" si="7"/>
        <v>26336</v>
      </c>
      <c r="F56" s="52"/>
    </row>
    <row r="57" spans="1:6" ht="18" customHeight="1" x14ac:dyDescent="0.25">
      <c r="B57" s="26" t="s">
        <v>120</v>
      </c>
      <c r="C57" s="53">
        <v>33233.24</v>
      </c>
      <c r="D57" s="51">
        <f t="shared" si="5"/>
        <v>33233.24</v>
      </c>
      <c r="E57" s="50">
        <f t="shared" si="7"/>
        <v>33233.24</v>
      </c>
      <c r="F57" s="52"/>
    </row>
    <row r="58" spans="1:6" ht="18" customHeight="1" x14ac:dyDescent="0.25">
      <c r="B58" s="24" t="s">
        <v>121</v>
      </c>
      <c r="C58" s="50">
        <v>6342.28</v>
      </c>
      <c r="D58" s="51">
        <f t="shared" si="5"/>
        <v>6342.28</v>
      </c>
      <c r="E58" s="50">
        <f t="shared" si="7"/>
        <v>6342.28</v>
      </c>
      <c r="F58" s="52"/>
    </row>
    <row r="59" spans="1:6" ht="24" customHeight="1" x14ac:dyDescent="0.25">
      <c r="B59" s="26" t="s">
        <v>122</v>
      </c>
      <c r="C59" s="53">
        <v>4951.72</v>
      </c>
      <c r="D59" s="51">
        <f t="shared" si="5"/>
        <v>4951.72</v>
      </c>
      <c r="E59" s="50">
        <f t="shared" si="7"/>
        <v>4951.72</v>
      </c>
      <c r="F59" s="52"/>
    </row>
    <row r="60" spans="1:6" ht="18" customHeight="1" x14ac:dyDescent="0.25">
      <c r="A60" s="75"/>
      <c r="B60" s="75"/>
      <c r="C60" s="75"/>
      <c r="D60" s="75"/>
      <c r="E60" s="75"/>
      <c r="F60" s="75"/>
    </row>
    <row r="61" spans="1:6" ht="14.25" customHeight="1" x14ac:dyDescent="0.25">
      <c r="A61" s="75"/>
      <c r="B61" s="76" t="s">
        <v>123</v>
      </c>
      <c r="C61" s="77">
        <f>SUM(C32,C34:C59)</f>
        <v>722765.09</v>
      </c>
      <c r="D61" s="77">
        <f>SUM(D32,D34:D59)</f>
        <v>683148.27</v>
      </c>
      <c r="E61" s="77">
        <f ca="1">SUM(E32,E34:E59)</f>
        <v>762910.32645161287</v>
      </c>
      <c r="F61" s="75"/>
    </row>
    <row r="62" spans="1:6" ht="8.25" customHeight="1" x14ac:dyDescent="0.25">
      <c r="A62" s="78"/>
      <c r="B62" s="78"/>
      <c r="C62" s="78"/>
      <c r="D62" s="78"/>
      <c r="E62" s="78"/>
      <c r="F62" s="78"/>
    </row>
    <row r="63" spans="1:6" ht="19.5" customHeight="1" x14ac:dyDescent="0.25">
      <c r="A63" s="78"/>
      <c r="B63" s="79" t="s">
        <v>124</v>
      </c>
      <c r="C63" s="80">
        <f>C23-C61</f>
        <v>739945.14</v>
      </c>
      <c r="D63" s="80">
        <f>D23-D61</f>
        <v>834026.27</v>
      </c>
      <c r="E63" s="80">
        <f ca="1">E23-E61</f>
        <v>721942.69354838715</v>
      </c>
      <c r="F63" s="78"/>
    </row>
    <row r="64" spans="1:6" ht="10.5" hidden="1" customHeight="1" x14ac:dyDescent="0.25">
      <c r="A64" s="78"/>
      <c r="B64" s="113"/>
      <c r="C64" s="113"/>
      <c r="D64" s="113"/>
      <c r="E64" s="78"/>
      <c r="F64" s="78"/>
    </row>
    <row r="65" spans="1:6" ht="15.75" customHeight="1" x14ac:dyDescent="0.25">
      <c r="A65" s="32"/>
      <c r="B65" s="16" t="s">
        <v>125</v>
      </c>
      <c r="E65" s="32"/>
      <c r="F65" s="32"/>
    </row>
    <row r="66" spans="1:6" ht="19.5" customHeight="1" x14ac:dyDescent="0.25">
      <c r="A66" s="81"/>
      <c r="B66" s="29" t="s">
        <v>126</v>
      </c>
      <c r="C66" s="82"/>
      <c r="D66" s="82"/>
      <c r="E66" s="82">
        <f>5%</f>
        <v>0.05</v>
      </c>
      <c r="F66" s="81"/>
    </row>
    <row r="67" spans="1:6" ht="15.75" customHeight="1" x14ac:dyDescent="0.25">
      <c r="A67" s="81"/>
      <c r="B67" s="83" t="s">
        <v>127</v>
      </c>
      <c r="C67" s="82"/>
      <c r="D67" s="82"/>
      <c r="E67" s="84">
        <f ca="1">E63/E66</f>
        <v>14438853.870967742</v>
      </c>
      <c r="F67" s="81"/>
    </row>
    <row r="68" spans="1:6" ht="15.75" customHeight="1" x14ac:dyDescent="0.25">
      <c r="A68" s="35"/>
      <c r="B68" s="26" t="s">
        <v>128</v>
      </c>
      <c r="C68" s="54"/>
      <c r="D68" s="54"/>
      <c r="E68" s="54">
        <f ca="1">E67/105</f>
        <v>137512.8940092166</v>
      </c>
      <c r="F68" s="35"/>
    </row>
    <row r="69" spans="1:6" ht="15" customHeight="1" x14ac:dyDescent="0.25">
      <c r="A69" s="33"/>
      <c r="B69" s="24" t="s">
        <v>129</v>
      </c>
      <c r="C69" s="22"/>
      <c r="D69" s="22"/>
      <c r="E69" s="22">
        <f ca="1">E61/E23</f>
        <v>0.51379518119013079</v>
      </c>
      <c r="F69" s="33"/>
    </row>
    <row r="70" spans="1:6" ht="15.75" customHeight="1" x14ac:dyDescent="0.25"/>
    <row r="71" spans="1:6" ht="15.75" customHeight="1" x14ac:dyDescent="0.25"/>
    <row r="72" spans="1:6" ht="15.75" customHeight="1" x14ac:dyDescent="0.25"/>
    <row r="73" spans="1:6" ht="15.75" customHeight="1" x14ac:dyDescent="0.25"/>
    <row r="74" spans="1:6" ht="15.75" customHeight="1" x14ac:dyDescent="0.25"/>
    <row r="75" spans="1:6" ht="15.75" customHeight="1" x14ac:dyDescent="0.25"/>
    <row r="76" spans="1:6" ht="15.75" customHeight="1" x14ac:dyDescent="0.25"/>
    <row r="77" spans="1:6" ht="15.75" customHeight="1" x14ac:dyDescent="0.25"/>
    <row r="78" spans="1:6" ht="15.75" customHeight="1" x14ac:dyDescent="0.25"/>
    <row r="79" spans="1:6" ht="15.75" customHeight="1" x14ac:dyDescent="0.25"/>
    <row r="80" spans="1:6"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1">
    <mergeCell ref="B64:D64"/>
    <mergeCell ref="H7:J7"/>
    <mergeCell ref="H12:J12"/>
    <mergeCell ref="B14:D14"/>
    <mergeCell ref="B24:D24"/>
    <mergeCell ref="B25:D25"/>
    <mergeCell ref="A2:E2"/>
    <mergeCell ref="A3:E3"/>
    <mergeCell ref="H5:J5"/>
    <mergeCell ref="B6:D6"/>
    <mergeCell ref="H6:J6"/>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0"/>
  <sheetViews>
    <sheetView showGridLines="0" zoomScaleNormal="100" workbookViewId="0"/>
  </sheetViews>
  <sheetFormatPr defaultColWidth="14.42578125" defaultRowHeight="15" x14ac:dyDescent="0.25"/>
  <cols>
    <col min="1" max="1" width="2" customWidth="1"/>
    <col min="2" max="3" width="22" customWidth="1"/>
    <col min="4" max="4" width="12" customWidth="1"/>
    <col min="5" max="5" width="11" customWidth="1"/>
    <col min="6" max="6" width="10" customWidth="1"/>
    <col min="7" max="7" width="8" customWidth="1"/>
    <col min="8" max="8" width="10" customWidth="1"/>
    <col min="9" max="10" width="14" customWidth="1"/>
    <col min="11" max="11" width="12" customWidth="1"/>
    <col min="12" max="12" width="2" customWidth="1"/>
    <col min="13" max="26" width="8.7109375" customWidth="1"/>
  </cols>
  <sheetData>
    <row r="1" spans="1:13" ht="6" customHeight="1" x14ac:dyDescent="0.25">
      <c r="A1" s="32"/>
      <c r="B1" s="32"/>
      <c r="C1" s="32"/>
      <c r="D1" s="32"/>
      <c r="E1" s="32"/>
      <c r="F1" s="32"/>
      <c r="G1" s="32"/>
      <c r="H1" s="32"/>
      <c r="I1" s="32"/>
      <c r="J1" s="32"/>
      <c r="K1" s="32"/>
      <c r="L1" s="32"/>
      <c r="M1" s="32"/>
    </row>
    <row r="2" spans="1:13" ht="42" customHeight="1" x14ac:dyDescent="0.25">
      <c r="A2" s="32"/>
      <c r="B2" s="106" t="s">
        <v>130</v>
      </c>
      <c r="C2" s="106"/>
      <c r="D2" s="106"/>
      <c r="E2" s="106"/>
      <c r="F2" s="106"/>
      <c r="G2" s="106"/>
      <c r="H2" s="106"/>
      <c r="I2" s="106"/>
      <c r="J2" s="106"/>
      <c r="K2" s="106"/>
      <c r="L2" s="106"/>
      <c r="M2" s="106"/>
    </row>
    <row r="3" spans="1:13" ht="18" customHeight="1" x14ac:dyDescent="0.25">
      <c r="A3" s="32"/>
      <c r="B3" s="114" t="s">
        <v>131</v>
      </c>
      <c r="C3" s="114"/>
      <c r="D3" s="114"/>
      <c r="E3" s="114"/>
      <c r="F3" s="114"/>
      <c r="G3" s="114"/>
      <c r="H3" s="114"/>
      <c r="I3" s="114"/>
      <c r="J3" s="114"/>
      <c r="K3" s="114"/>
      <c r="L3" s="114"/>
      <c r="M3" s="114"/>
    </row>
    <row r="4" spans="1:13" ht="7.5" customHeight="1" x14ac:dyDescent="0.25">
      <c r="A4" s="32"/>
      <c r="B4" s="32"/>
      <c r="C4" s="32"/>
      <c r="D4" s="32"/>
      <c r="E4" s="32"/>
      <c r="F4" s="32"/>
      <c r="G4" s="32"/>
      <c r="H4" s="32"/>
      <c r="I4" s="32"/>
      <c r="J4" s="32"/>
      <c r="K4" s="32"/>
      <c r="L4" s="32"/>
      <c r="M4" s="32"/>
    </row>
    <row r="5" spans="1:13" ht="13.5" customHeight="1" x14ac:dyDescent="0.25">
      <c r="B5" s="105" t="s">
        <v>132</v>
      </c>
      <c r="C5" s="105"/>
      <c r="D5" s="105"/>
      <c r="E5" s="105"/>
      <c r="F5" s="105"/>
      <c r="G5" s="105"/>
      <c r="H5" s="105"/>
      <c r="I5" s="105"/>
      <c r="J5" s="105"/>
      <c r="K5" s="105"/>
    </row>
    <row r="6" spans="1:13" ht="31.5" customHeight="1" x14ac:dyDescent="0.25">
      <c r="A6" s="32"/>
      <c r="B6" s="85" t="s">
        <v>133</v>
      </c>
      <c r="C6" s="85" t="s">
        <v>134</v>
      </c>
      <c r="D6" s="85" t="s">
        <v>135</v>
      </c>
      <c r="E6" s="85" t="s">
        <v>136</v>
      </c>
      <c r="F6" s="85" t="s">
        <v>137</v>
      </c>
      <c r="G6" s="85" t="s">
        <v>138</v>
      </c>
      <c r="H6" s="85" t="s">
        <v>139</v>
      </c>
      <c r="I6" s="85" t="s">
        <v>140</v>
      </c>
      <c r="J6" s="85" t="s">
        <v>141</v>
      </c>
      <c r="K6" s="85" t="s">
        <v>142</v>
      </c>
      <c r="L6" s="32"/>
    </row>
    <row r="7" spans="1:13" ht="18" customHeight="1" x14ac:dyDescent="0.25">
      <c r="A7" s="33"/>
      <c r="B7" s="86"/>
      <c r="C7" s="86"/>
      <c r="D7" s="87"/>
      <c r="E7" s="88"/>
      <c r="F7" s="89"/>
      <c r="G7" s="90"/>
      <c r="H7" s="88"/>
      <c r="I7" s="87"/>
      <c r="J7" s="88"/>
      <c r="K7" s="86"/>
      <c r="L7" s="33"/>
    </row>
    <row r="8" spans="1:13" ht="18" customHeight="1" x14ac:dyDescent="0.25">
      <c r="A8" s="35"/>
      <c r="B8" s="86"/>
      <c r="C8" s="86"/>
      <c r="D8" s="87"/>
      <c r="E8" s="88"/>
      <c r="F8" s="89"/>
      <c r="G8" s="90"/>
      <c r="H8" s="88"/>
      <c r="I8" s="87"/>
      <c r="J8" s="88"/>
      <c r="K8" s="86"/>
      <c r="L8" s="35"/>
    </row>
    <row r="9" spans="1:13" ht="18" customHeight="1" x14ac:dyDescent="0.25">
      <c r="A9" s="33"/>
      <c r="B9" s="86"/>
      <c r="C9" s="86"/>
      <c r="D9" s="87"/>
      <c r="E9" s="88"/>
      <c r="F9" s="89"/>
      <c r="G9" s="90"/>
      <c r="H9" s="88"/>
      <c r="I9" s="87"/>
      <c r="J9" s="88"/>
      <c r="K9" s="86"/>
      <c r="L9" s="33"/>
    </row>
    <row r="10" spans="1:13" ht="18" customHeight="1" x14ac:dyDescent="0.25">
      <c r="A10" s="35"/>
      <c r="B10" s="86"/>
      <c r="C10" s="86"/>
      <c r="D10" s="87"/>
      <c r="E10" s="88"/>
      <c r="F10" s="89"/>
      <c r="G10" s="90"/>
      <c r="H10" s="88"/>
      <c r="I10" s="87"/>
      <c r="J10" s="88"/>
      <c r="K10" s="86"/>
      <c r="L10" s="35"/>
    </row>
    <row r="11" spans="1:13" ht="18" customHeight="1" x14ac:dyDescent="0.25">
      <c r="A11" s="33"/>
      <c r="B11" s="86"/>
      <c r="C11" s="86"/>
      <c r="D11" s="87"/>
      <c r="E11" s="88"/>
      <c r="F11" s="89"/>
      <c r="G11" s="90"/>
      <c r="H11" s="88"/>
      <c r="I11" s="87"/>
      <c r="J11" s="88"/>
      <c r="K11" s="86"/>
      <c r="L11" s="33"/>
    </row>
    <row r="12" spans="1:13" ht="18" customHeight="1" x14ac:dyDescent="0.25">
      <c r="A12" s="35"/>
      <c r="B12" s="86"/>
      <c r="C12" s="86"/>
      <c r="D12" s="87"/>
      <c r="E12" s="88"/>
      <c r="F12" s="89"/>
      <c r="G12" s="90"/>
      <c r="H12" s="88"/>
      <c r="I12" s="87"/>
      <c r="J12" s="88"/>
      <c r="K12" s="86"/>
      <c r="L12" s="35"/>
    </row>
    <row r="13" spans="1:13" ht="18" customHeight="1" x14ac:dyDescent="0.25">
      <c r="A13" s="33"/>
      <c r="B13" s="86"/>
      <c r="C13" s="86"/>
      <c r="D13" s="87"/>
      <c r="E13" s="88"/>
      <c r="F13" s="89"/>
      <c r="G13" s="90"/>
      <c r="H13" s="88"/>
      <c r="I13" s="87"/>
      <c r="J13" s="88"/>
      <c r="K13" s="86"/>
      <c r="L13" s="33"/>
    </row>
    <row r="14" spans="1:13" ht="18" customHeight="1" x14ac:dyDescent="0.25">
      <c r="A14" s="35"/>
      <c r="B14" s="86"/>
      <c r="C14" s="86"/>
      <c r="D14" s="87"/>
      <c r="E14" s="88"/>
      <c r="F14" s="89"/>
      <c r="G14" s="90"/>
      <c r="H14" s="88"/>
      <c r="I14" s="87"/>
      <c r="J14" s="88"/>
      <c r="K14" s="86"/>
      <c r="L14" s="35"/>
    </row>
    <row r="15" spans="1:13" ht="18" customHeight="1" x14ac:dyDescent="0.25">
      <c r="A15" s="33"/>
      <c r="B15" s="86"/>
      <c r="C15" s="86"/>
      <c r="D15" s="87"/>
      <c r="E15" s="88"/>
      <c r="F15" s="89"/>
      <c r="G15" s="90"/>
      <c r="H15" s="88"/>
      <c r="I15" s="87"/>
      <c r="J15" s="88"/>
      <c r="K15" s="86"/>
      <c r="L15" s="33"/>
    </row>
    <row r="16" spans="1:13" ht="18" customHeight="1" x14ac:dyDescent="0.25">
      <c r="A16" s="35"/>
      <c r="B16" s="86"/>
      <c r="C16" s="86"/>
      <c r="D16" s="87"/>
      <c r="E16" s="88"/>
      <c r="F16" s="89"/>
      <c r="G16" s="90"/>
      <c r="H16" s="88"/>
      <c r="I16" s="87"/>
      <c r="J16" s="88"/>
      <c r="K16" s="86"/>
      <c r="L16" s="35"/>
    </row>
    <row r="17" spans="1:12" ht="18" customHeight="1" x14ac:dyDescent="0.25">
      <c r="A17" s="32"/>
      <c r="B17" s="108" t="s">
        <v>143</v>
      </c>
      <c r="C17" s="108"/>
      <c r="D17" s="91" t="str">
        <f>IFERROR(AVERAGEIF(D7:D16,"&gt;0",D7:D16),"")</f>
        <v/>
      </c>
      <c r="F17" s="92" t="str">
        <f>IFERROR(AVERAGEIF(F7:F16,"&gt;0",F7:F16),"")</f>
        <v/>
      </c>
      <c r="G17" s="93" t="str">
        <f>IFERROR(AVERAGEIF(G7:G16,"&gt;0",G7:G16),"")</f>
        <v/>
      </c>
      <c r="I17" s="91" t="str">
        <f>IFERROR(AVERAGEIF(I7:I16,"&gt;0",I7:I16),"")</f>
        <v/>
      </c>
      <c r="L17" s="32"/>
    </row>
    <row r="18" spans="1:12" ht="13.5" customHeight="1" x14ac:dyDescent="0.25">
      <c r="A18" s="81"/>
      <c r="B18" s="1" t="s">
        <v>144</v>
      </c>
      <c r="C18" s="1"/>
      <c r="D18" s="94">
        <f>COUNTIF(D7:D16,"&gt;0")</f>
        <v>0</v>
      </c>
      <c r="L18" s="81"/>
    </row>
    <row r="20" spans="1:12" ht="12.75" customHeight="1" x14ac:dyDescent="0.25">
      <c r="B20" s="105" t="s">
        <v>145</v>
      </c>
      <c r="C20" s="105"/>
      <c r="D20" s="105"/>
      <c r="E20" s="105"/>
      <c r="F20" s="105"/>
      <c r="G20" s="105"/>
      <c r="H20" s="105"/>
      <c r="I20" s="105"/>
      <c r="J20" s="105"/>
      <c r="K20" s="105"/>
    </row>
    <row r="21" spans="1:12" ht="15.75" customHeight="1" x14ac:dyDescent="0.25"/>
    <row r="22" spans="1:12" ht="15.75" customHeight="1" x14ac:dyDescent="0.25"/>
    <row r="23" spans="1:12" ht="15.75" customHeight="1" x14ac:dyDescent="0.25"/>
    <row r="24" spans="1:12" ht="15.75" customHeight="1" x14ac:dyDescent="0.25"/>
    <row r="25" spans="1:12" ht="15.75" customHeight="1" x14ac:dyDescent="0.25"/>
    <row r="26" spans="1:12" ht="15.75" customHeight="1" x14ac:dyDescent="0.25"/>
    <row r="27" spans="1:12" ht="15.75" customHeight="1" x14ac:dyDescent="0.25"/>
    <row r="28" spans="1:12" ht="15.75" customHeight="1" x14ac:dyDescent="0.25"/>
    <row r="29" spans="1:12" ht="15.75" customHeight="1" x14ac:dyDescent="0.25"/>
    <row r="30" spans="1:12" ht="15.75" customHeight="1" x14ac:dyDescent="0.25"/>
    <row r="31" spans="1:12" ht="15.75" customHeight="1" x14ac:dyDescent="0.25"/>
    <row r="32" spans="1:1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6">
    <mergeCell ref="B20:K20"/>
    <mergeCell ref="B2:M2"/>
    <mergeCell ref="B3:M3"/>
    <mergeCell ref="B5:K5"/>
    <mergeCell ref="B17:C17"/>
    <mergeCell ref="B18:C18"/>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00"/>
  <sheetViews>
    <sheetView showGridLines="0" zoomScaleNormal="100" workbookViewId="0"/>
  </sheetViews>
  <sheetFormatPr defaultColWidth="14.42578125" defaultRowHeight="15" x14ac:dyDescent="0.25"/>
  <cols>
    <col min="1" max="1" width="2" customWidth="1"/>
    <col min="2" max="3" width="22" customWidth="1"/>
    <col min="4" max="8" width="10" customWidth="1"/>
    <col min="9" max="10" width="14" customWidth="1"/>
    <col min="11" max="11" width="2" customWidth="1"/>
    <col min="12" max="26" width="8.7109375" customWidth="1"/>
  </cols>
  <sheetData>
    <row r="1" spans="1:13" ht="6" customHeight="1" x14ac:dyDescent="0.25">
      <c r="A1" s="32"/>
      <c r="B1" s="32"/>
      <c r="C1" s="32"/>
      <c r="D1" s="32"/>
      <c r="E1" s="32"/>
      <c r="F1" s="32"/>
      <c r="G1" s="32"/>
      <c r="H1" s="32"/>
      <c r="I1" s="32"/>
      <c r="J1" s="32"/>
      <c r="K1" s="32"/>
      <c r="L1" s="32"/>
      <c r="M1" s="32"/>
    </row>
    <row r="2" spans="1:13" ht="42" customHeight="1" x14ac:dyDescent="0.25">
      <c r="A2" s="32"/>
      <c r="B2" s="106" t="s">
        <v>146</v>
      </c>
      <c r="C2" s="106"/>
      <c r="D2" s="106"/>
      <c r="E2" s="106"/>
      <c r="F2" s="106"/>
      <c r="G2" s="106"/>
      <c r="H2" s="106"/>
      <c r="I2" s="106"/>
      <c r="J2" s="106"/>
      <c r="K2" s="106"/>
      <c r="L2" s="106"/>
      <c r="M2" s="106"/>
    </row>
    <row r="3" spans="1:13" ht="18" customHeight="1" x14ac:dyDescent="0.25">
      <c r="A3" s="32"/>
      <c r="B3" s="114" t="s">
        <v>147</v>
      </c>
      <c r="C3" s="114"/>
      <c r="D3" s="114"/>
      <c r="E3" s="114"/>
      <c r="F3" s="114"/>
      <c r="G3" s="114"/>
      <c r="H3" s="114"/>
      <c r="I3" s="114"/>
      <c r="J3" s="114"/>
      <c r="K3" s="114"/>
      <c r="L3" s="114"/>
      <c r="M3" s="114"/>
    </row>
    <row r="4" spans="1:13" ht="7.5" customHeight="1" x14ac:dyDescent="0.25">
      <c r="A4" s="32"/>
      <c r="B4" s="32"/>
      <c r="C4" s="32"/>
      <c r="D4" s="32"/>
      <c r="E4" s="32"/>
      <c r="F4" s="32"/>
      <c r="G4" s="32"/>
      <c r="H4" s="32"/>
      <c r="I4" s="32"/>
      <c r="J4" s="32"/>
      <c r="K4" s="32"/>
      <c r="L4" s="32"/>
      <c r="M4" s="32"/>
    </row>
    <row r="5" spans="1:13" ht="13.5" customHeight="1" x14ac:dyDescent="0.25">
      <c r="B5" s="105" t="s">
        <v>148</v>
      </c>
      <c r="C5" s="105"/>
      <c r="D5" s="105"/>
      <c r="E5" s="105"/>
      <c r="F5" s="105"/>
      <c r="G5" s="105"/>
      <c r="H5" s="105"/>
      <c r="I5" s="105"/>
      <c r="J5" s="105"/>
    </row>
    <row r="6" spans="1:13" ht="31.5" customHeight="1" x14ac:dyDescent="0.25">
      <c r="A6" s="32"/>
      <c r="B6" s="85" t="s">
        <v>133</v>
      </c>
      <c r="C6" s="85" t="s">
        <v>134</v>
      </c>
      <c r="D6" s="85" t="s">
        <v>137</v>
      </c>
      <c r="E6" s="85" t="s">
        <v>149</v>
      </c>
      <c r="F6" s="85" t="s">
        <v>150</v>
      </c>
      <c r="G6" s="85" t="s">
        <v>151</v>
      </c>
      <c r="H6" s="85" t="s">
        <v>139</v>
      </c>
      <c r="I6" s="85" t="s">
        <v>152</v>
      </c>
      <c r="J6" s="85" t="s">
        <v>141</v>
      </c>
      <c r="K6" s="32"/>
    </row>
    <row r="7" spans="1:13" ht="18" customHeight="1" x14ac:dyDescent="0.25">
      <c r="A7" s="33"/>
      <c r="B7" s="86"/>
      <c r="C7" s="86"/>
      <c r="D7" s="89"/>
      <c r="E7" s="87"/>
      <c r="F7" s="87"/>
      <c r="G7" s="87"/>
      <c r="H7" s="88"/>
      <c r="I7" s="95"/>
      <c r="J7" s="88"/>
      <c r="K7" s="33"/>
    </row>
    <row r="8" spans="1:13" ht="18" customHeight="1" x14ac:dyDescent="0.25">
      <c r="A8" s="35"/>
      <c r="B8" s="86"/>
      <c r="C8" s="86"/>
      <c r="D8" s="89"/>
      <c r="E8" s="87"/>
      <c r="F8" s="87"/>
      <c r="G8" s="87"/>
      <c r="H8" s="88"/>
      <c r="I8" s="95"/>
      <c r="J8" s="88"/>
      <c r="K8" s="35"/>
    </row>
    <row r="9" spans="1:13" ht="18" customHeight="1" x14ac:dyDescent="0.25">
      <c r="A9" s="33"/>
      <c r="B9" s="86"/>
      <c r="C9" s="86"/>
      <c r="D9" s="89"/>
      <c r="E9" s="87"/>
      <c r="F9" s="87"/>
      <c r="G9" s="87"/>
      <c r="H9" s="88"/>
      <c r="I9" s="95"/>
      <c r="J9" s="88"/>
      <c r="K9" s="33"/>
    </row>
    <row r="10" spans="1:13" ht="18" customHeight="1" x14ac:dyDescent="0.25">
      <c r="A10" s="35"/>
      <c r="B10" s="86"/>
      <c r="C10" s="86"/>
      <c r="D10" s="89"/>
      <c r="E10" s="87"/>
      <c r="F10" s="87"/>
      <c r="G10" s="87"/>
      <c r="H10" s="88"/>
      <c r="I10" s="95"/>
      <c r="J10" s="88"/>
      <c r="K10" s="35"/>
    </row>
    <row r="11" spans="1:13" ht="18" customHeight="1" x14ac:dyDescent="0.25">
      <c r="A11" s="33"/>
      <c r="B11" s="86"/>
      <c r="C11" s="86"/>
      <c r="D11" s="89"/>
      <c r="E11" s="87"/>
      <c r="F11" s="87"/>
      <c r="G11" s="87"/>
      <c r="H11" s="88"/>
      <c r="I11" s="95"/>
      <c r="J11" s="88"/>
      <c r="K11" s="33"/>
    </row>
    <row r="12" spans="1:13" ht="18" customHeight="1" x14ac:dyDescent="0.25">
      <c r="A12" s="35"/>
      <c r="B12" s="86"/>
      <c r="C12" s="86"/>
      <c r="D12" s="89"/>
      <c r="E12" s="87"/>
      <c r="F12" s="87"/>
      <c r="G12" s="87"/>
      <c r="H12" s="88"/>
      <c r="I12" s="95"/>
      <c r="J12" s="88"/>
      <c r="K12" s="35"/>
    </row>
    <row r="13" spans="1:13" ht="18" customHeight="1" x14ac:dyDescent="0.25">
      <c r="A13" s="33"/>
      <c r="B13" s="86"/>
      <c r="C13" s="86"/>
      <c r="D13" s="89"/>
      <c r="E13" s="87"/>
      <c r="F13" s="87"/>
      <c r="G13" s="87"/>
      <c r="H13" s="88"/>
      <c r="I13" s="95"/>
      <c r="J13" s="88"/>
      <c r="K13" s="33"/>
    </row>
    <row r="14" spans="1:13" ht="18" customHeight="1" x14ac:dyDescent="0.25">
      <c r="A14" s="35"/>
      <c r="B14" s="86"/>
      <c r="C14" s="86"/>
      <c r="D14" s="89"/>
      <c r="E14" s="87"/>
      <c r="F14" s="87"/>
      <c r="G14" s="87"/>
      <c r="H14" s="88"/>
      <c r="I14" s="95"/>
      <c r="J14" s="88"/>
      <c r="K14" s="35"/>
    </row>
    <row r="15" spans="1:13" ht="18" customHeight="1" x14ac:dyDescent="0.25">
      <c r="A15" s="33"/>
      <c r="B15" s="86"/>
      <c r="C15" s="86"/>
      <c r="D15" s="89"/>
      <c r="E15" s="87"/>
      <c r="F15" s="87"/>
      <c r="G15" s="87"/>
      <c r="H15" s="88"/>
      <c r="I15" s="95"/>
      <c r="J15" s="88"/>
      <c r="K15" s="33"/>
    </row>
    <row r="16" spans="1:13" ht="18" customHeight="1" x14ac:dyDescent="0.25">
      <c r="A16" s="35"/>
      <c r="B16" s="86"/>
      <c r="C16" s="86"/>
      <c r="D16" s="89"/>
      <c r="E16" s="87"/>
      <c r="F16" s="87"/>
      <c r="G16" s="87"/>
      <c r="H16" s="88"/>
      <c r="I16" s="95"/>
      <c r="J16" s="88"/>
      <c r="K16" s="35"/>
    </row>
    <row r="17" spans="1:11" ht="18" customHeight="1" x14ac:dyDescent="0.25">
      <c r="A17" s="32"/>
      <c r="B17" s="108" t="s">
        <v>143</v>
      </c>
      <c r="C17" s="108"/>
      <c r="D17" s="92" t="str">
        <f>IFERROR(AVERAGEIF(D7:D16,"&gt;0",D7:D16),"")</f>
        <v/>
      </c>
      <c r="E17" s="91" t="str">
        <f>IFERROR(AVERAGEIF(E7:E16,"&gt;0",E7:E16),"")</f>
        <v/>
      </c>
      <c r="F17" s="91" t="str">
        <f>IFERROR(AVERAGEIF(F7:F16,"&gt;0",F7:F16),"")</f>
        <v/>
      </c>
      <c r="G17" s="91" t="str">
        <f>IFERROR(AVERAGEIF(G7:G16,"&gt;0",G7:G16),"")</f>
        <v/>
      </c>
      <c r="I17" s="96" t="str">
        <f>IFERROR(AVERAGEIF(I7:I16,"&gt;0",I7:I16),"")</f>
        <v/>
      </c>
      <c r="K17" s="32"/>
    </row>
    <row r="18" spans="1:11" ht="13.5" customHeight="1" x14ac:dyDescent="0.25">
      <c r="A18" s="81"/>
      <c r="B18" s="1" t="s">
        <v>144</v>
      </c>
      <c r="C18" s="1"/>
      <c r="E18" s="94">
        <f>COUNTIF(E7:E16,"&gt;0")</f>
        <v>0</v>
      </c>
      <c r="K18" s="81"/>
    </row>
    <row r="20" spans="1:11" ht="12.75" customHeight="1" x14ac:dyDescent="0.25">
      <c r="B20" s="105" t="s">
        <v>145</v>
      </c>
      <c r="C20" s="105"/>
      <c r="D20" s="105"/>
      <c r="E20" s="105"/>
      <c r="F20" s="105"/>
      <c r="G20" s="105"/>
      <c r="H20" s="105"/>
      <c r="I20" s="105"/>
      <c r="J20" s="105"/>
    </row>
    <row r="21" spans="1:11" ht="15.75" customHeight="1" x14ac:dyDescent="0.25"/>
    <row r="22" spans="1:11" ht="15.75" customHeight="1" x14ac:dyDescent="0.25"/>
    <row r="23" spans="1:11" ht="15.75" customHeight="1" x14ac:dyDescent="0.25"/>
    <row r="24" spans="1:11" ht="15.75" customHeight="1" x14ac:dyDescent="0.25"/>
    <row r="25" spans="1:11" ht="15.75" customHeight="1" x14ac:dyDescent="0.25"/>
    <row r="26" spans="1:11" ht="15.75" customHeight="1" x14ac:dyDescent="0.25"/>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6">
    <mergeCell ref="B20:J20"/>
    <mergeCell ref="B2:M2"/>
    <mergeCell ref="B3:M3"/>
    <mergeCell ref="B5:J5"/>
    <mergeCell ref="B17:C17"/>
    <mergeCell ref="B18:C18"/>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0"/>
  <sheetViews>
    <sheetView showGridLines="0" zoomScaleNormal="100" workbookViewId="0">
      <selection activeCell="C7" sqref="C7:C11"/>
    </sheetView>
  </sheetViews>
  <sheetFormatPr defaultColWidth="14.42578125" defaultRowHeight="15" x14ac:dyDescent="0.25"/>
  <cols>
    <col min="1" max="1" width="2" customWidth="1"/>
    <col min="2" max="2" width="30" customWidth="1"/>
    <col min="3" max="7" width="13" customWidth="1"/>
    <col min="8" max="8" width="14.42578125" customWidth="1"/>
    <col min="9" max="26" width="8.7109375" customWidth="1"/>
  </cols>
  <sheetData>
    <row r="1" spans="1:8" ht="6" customHeight="1" x14ac:dyDescent="0.25">
      <c r="A1" s="32"/>
      <c r="B1" s="32"/>
      <c r="C1" s="32"/>
      <c r="D1" s="32"/>
      <c r="E1" s="32"/>
      <c r="F1" s="32"/>
      <c r="G1" s="32"/>
      <c r="H1" s="32"/>
    </row>
    <row r="2" spans="1:8" ht="42" customHeight="1" x14ac:dyDescent="0.25">
      <c r="A2" s="106" t="s">
        <v>153</v>
      </c>
      <c r="B2" s="106"/>
      <c r="C2" s="106"/>
      <c r="D2" s="106"/>
      <c r="E2" s="106"/>
      <c r="F2" s="106"/>
      <c r="G2" s="106"/>
      <c r="H2" s="106"/>
    </row>
    <row r="3" spans="1:8" ht="18" customHeight="1" x14ac:dyDescent="0.25">
      <c r="A3" s="107" t="s">
        <v>154</v>
      </c>
      <c r="B3" s="107"/>
      <c r="C3" s="107"/>
      <c r="D3" s="107"/>
      <c r="E3" s="107"/>
      <c r="F3" s="107"/>
      <c r="G3" s="107"/>
      <c r="H3" s="107"/>
    </row>
    <row r="4" spans="1:8" ht="7.5" customHeight="1" x14ac:dyDescent="0.25">
      <c r="A4" s="42" t="s">
        <v>46</v>
      </c>
      <c r="B4" s="32"/>
      <c r="C4" s="32"/>
      <c r="D4" s="32"/>
      <c r="E4" s="32"/>
      <c r="F4" s="32"/>
      <c r="G4" s="32"/>
      <c r="H4" s="32"/>
    </row>
    <row r="5" spans="1:8" ht="13.5" customHeight="1" x14ac:dyDescent="0.25">
      <c r="B5" s="115" t="s">
        <v>155</v>
      </c>
      <c r="C5" s="115"/>
      <c r="D5" s="115"/>
      <c r="E5" s="115"/>
      <c r="F5" s="115"/>
      <c r="G5" s="115"/>
    </row>
    <row r="6" spans="1:8" ht="13.5" customHeight="1" x14ac:dyDescent="0.25">
      <c r="B6" s="97" t="s">
        <v>156</v>
      </c>
      <c r="C6" s="98">
        <v>3.5000000000000003E-2</v>
      </c>
    </row>
    <row r="7" spans="1:8" ht="13.5" customHeight="1" x14ac:dyDescent="0.25">
      <c r="B7" s="97" t="s">
        <v>157</v>
      </c>
      <c r="C7" s="98">
        <v>0.02</v>
      </c>
    </row>
    <row r="8" spans="1:8" ht="13.5" customHeight="1" x14ac:dyDescent="0.25">
      <c r="B8" s="97" t="s">
        <v>158</v>
      </c>
      <c r="C8" s="98">
        <v>0.03</v>
      </c>
    </row>
    <row r="9" spans="1:8" ht="13.5" customHeight="1" x14ac:dyDescent="0.25">
      <c r="B9" s="97" t="s">
        <v>159</v>
      </c>
      <c r="C9" s="99">
        <v>5.2499999999999998E-2</v>
      </c>
    </row>
    <row r="10" spans="1:8" ht="13.5" customHeight="1" x14ac:dyDescent="0.25">
      <c r="B10" s="97" t="s">
        <v>160</v>
      </c>
      <c r="C10" s="98">
        <v>0.65</v>
      </c>
    </row>
    <row r="11" spans="1:8" ht="14.25" customHeight="1" x14ac:dyDescent="0.25">
      <c r="B11" s="97" t="s">
        <v>161</v>
      </c>
      <c r="C11" s="99">
        <v>0.05</v>
      </c>
    </row>
    <row r="12" spans="1:8" ht="13.5" customHeight="1" x14ac:dyDescent="0.25">
      <c r="A12" s="81"/>
      <c r="B12" s="29" t="s">
        <v>162</v>
      </c>
      <c r="C12" s="31">
        <f ca="1">'BOV Summary'!F25</f>
        <v>14438853.870967742</v>
      </c>
      <c r="D12" s="109" t="s">
        <v>163</v>
      </c>
      <c r="E12" s="109"/>
      <c r="F12" s="109"/>
      <c r="G12" s="109"/>
      <c r="H12" s="81"/>
    </row>
    <row r="13" spans="1:8" ht="18" customHeight="1" x14ac:dyDescent="0.25">
      <c r="B13" s="100" t="s">
        <v>164</v>
      </c>
    </row>
    <row r="14" spans="1:8" ht="13.5" customHeight="1" x14ac:dyDescent="0.25">
      <c r="B14" s="47" t="s">
        <v>47</v>
      </c>
      <c r="C14" s="43" t="s">
        <v>165</v>
      </c>
      <c r="D14" s="43" t="s">
        <v>166</v>
      </c>
      <c r="E14" s="43" t="s">
        <v>167</v>
      </c>
      <c r="F14" s="43" t="s">
        <v>168</v>
      </c>
      <c r="G14" s="43" t="s">
        <v>169</v>
      </c>
    </row>
    <row r="15" spans="1:8" ht="18" customHeight="1" x14ac:dyDescent="0.25">
      <c r="B15" s="104"/>
      <c r="C15" s="104"/>
      <c r="D15" s="104"/>
      <c r="E15" s="104"/>
      <c r="F15" s="104"/>
      <c r="G15" s="104"/>
    </row>
    <row r="16" spans="1:8" ht="15" customHeight="1" x14ac:dyDescent="0.25">
      <c r="B16" s="16" t="s">
        <v>53</v>
      </c>
    </row>
    <row r="17" spans="2:8" ht="15" customHeight="1" x14ac:dyDescent="0.25">
      <c r="B17" s="24" t="s">
        <v>170</v>
      </c>
      <c r="C17" s="51">
        <f>'Income Statement'!E7</f>
        <v>1077384</v>
      </c>
      <c r="D17" s="51">
        <f t="shared" ref="D17:G19" si="0">C17*(1+$C$6)</f>
        <v>1115092.44</v>
      </c>
      <c r="E17" s="51">
        <f t="shared" si="0"/>
        <v>1154120.6753999998</v>
      </c>
      <c r="F17" s="51">
        <f t="shared" si="0"/>
        <v>1194514.8990389998</v>
      </c>
      <c r="G17" s="51">
        <f t="shared" si="0"/>
        <v>1236322.9205053647</v>
      </c>
    </row>
    <row r="18" spans="2:8" ht="15" customHeight="1" x14ac:dyDescent="0.25">
      <c r="B18" s="26" t="s">
        <v>171</v>
      </c>
      <c r="C18" s="54">
        <f>SUM('Income Statement'!E8:E13)-'Income Statement'!E10</f>
        <v>-1738.9399999999996</v>
      </c>
      <c r="D18" s="54">
        <f t="shared" si="0"/>
        <v>-1799.8028999999995</v>
      </c>
      <c r="E18" s="54">
        <f t="shared" si="0"/>
        <v>-1862.7960014999992</v>
      </c>
      <c r="F18" s="54">
        <f t="shared" si="0"/>
        <v>-1927.9938615524991</v>
      </c>
      <c r="G18" s="54">
        <f t="shared" si="0"/>
        <v>-1995.4736467068365</v>
      </c>
    </row>
    <row r="19" spans="2:8" ht="15" customHeight="1" x14ac:dyDescent="0.25">
      <c r="B19" s="24" t="s">
        <v>172</v>
      </c>
      <c r="C19" s="51">
        <f>'Income Statement'!E20</f>
        <v>441499.48</v>
      </c>
      <c r="D19" s="51">
        <f t="shared" si="0"/>
        <v>456951.96179999993</v>
      </c>
      <c r="E19" s="51">
        <f t="shared" si="0"/>
        <v>472945.28046299989</v>
      </c>
      <c r="F19" s="51">
        <f t="shared" si="0"/>
        <v>489498.36527920485</v>
      </c>
      <c r="G19" s="51">
        <f t="shared" si="0"/>
        <v>506630.80806397699</v>
      </c>
    </row>
    <row r="20" spans="2:8" ht="25.5" customHeight="1" x14ac:dyDescent="0.25">
      <c r="B20" s="26" t="s">
        <v>81</v>
      </c>
      <c r="C20" s="54">
        <f>-C17*$C$8</f>
        <v>-32321.52</v>
      </c>
      <c r="D20" s="54">
        <f>-D17*$C$8</f>
        <v>-33452.773199999996</v>
      </c>
      <c r="E20" s="54">
        <f>-E17*$C$8</f>
        <v>-34623.620261999997</v>
      </c>
      <c r="F20" s="54">
        <f>-F17*$C$8</f>
        <v>-35835.446971169993</v>
      </c>
      <c r="G20" s="54">
        <f>-G17*$C$8</f>
        <v>-37089.687615160939</v>
      </c>
    </row>
    <row r="21" spans="2:8" ht="21.75" customHeight="1" x14ac:dyDescent="0.25">
      <c r="B21" s="16" t="s">
        <v>173</v>
      </c>
      <c r="C21" s="72">
        <f>SUM(C17:C20)</f>
        <v>1484823.02</v>
      </c>
      <c r="D21" s="72">
        <f>SUM(D17:D20)</f>
        <v>1536791.8256999999</v>
      </c>
      <c r="E21" s="72">
        <f>SUM(E17:E20)</f>
        <v>1590579.5395994997</v>
      </c>
      <c r="F21" s="72">
        <f>SUM(F17:F20)</f>
        <v>1646249.8234854823</v>
      </c>
      <c r="G21" s="72">
        <f>SUM(G17:G20)</f>
        <v>1703868.5673074739</v>
      </c>
    </row>
    <row r="22" spans="2:8" ht="18" customHeight="1" x14ac:dyDescent="0.25">
      <c r="B22" s="104"/>
      <c r="C22" s="104"/>
      <c r="D22" s="104"/>
      <c r="E22" s="104"/>
      <c r="F22" s="104"/>
      <c r="G22" s="104"/>
    </row>
    <row r="23" spans="2:8" ht="15" customHeight="1" x14ac:dyDescent="0.25">
      <c r="B23" s="16" t="s">
        <v>85</v>
      </c>
    </row>
    <row r="24" spans="2:8" ht="15" customHeight="1" x14ac:dyDescent="0.25">
      <c r="B24" s="24" t="s">
        <v>174</v>
      </c>
      <c r="C24" s="51">
        <f ca="1">'Income Statement'!E61</f>
        <v>762910.32645161287</v>
      </c>
      <c r="D24" s="51">
        <f ca="1">C24*(1+$C$7)</f>
        <v>778168.53298064519</v>
      </c>
      <c r="E24" s="51">
        <f ca="1">D24*(1+$C$7)</f>
        <v>793731.90364025813</v>
      </c>
      <c r="F24" s="51">
        <f ca="1">E24*(1+$C$7)</f>
        <v>809606.54171306326</v>
      </c>
      <c r="G24" s="51">
        <f ca="1">F24*(1+$C$7)</f>
        <v>825798.67254732456</v>
      </c>
    </row>
    <row r="25" spans="2:8" ht="18" customHeight="1" x14ac:dyDescent="0.25">
      <c r="B25" s="24"/>
      <c r="C25" s="51"/>
      <c r="D25" s="51"/>
      <c r="E25" s="51"/>
      <c r="F25" s="51"/>
      <c r="G25" s="51"/>
      <c r="H25" s="33"/>
    </row>
    <row r="26" spans="2:8" ht="15" customHeight="1" x14ac:dyDescent="0.25">
      <c r="B26" s="76" t="s">
        <v>123</v>
      </c>
      <c r="C26" s="77">
        <f ca="1">C24</f>
        <v>762910.32645161287</v>
      </c>
      <c r="D26" s="77">
        <f ca="1">D24</f>
        <v>778168.53298064519</v>
      </c>
      <c r="E26" s="77">
        <f ca="1">E24</f>
        <v>793731.90364025813</v>
      </c>
      <c r="F26" s="77">
        <f ca="1">F24</f>
        <v>809606.54171306326</v>
      </c>
      <c r="G26" s="77">
        <f ca="1">G24</f>
        <v>825798.67254732456</v>
      </c>
    </row>
    <row r="27" spans="2:8" ht="21.75" customHeight="1" x14ac:dyDescent="0.25"/>
    <row r="28" spans="2:8" ht="15.75" customHeight="1" x14ac:dyDescent="0.25">
      <c r="B28" s="79" t="s">
        <v>124</v>
      </c>
      <c r="C28" s="80">
        <f ca="1">C21-C26</f>
        <v>721912.69354838715</v>
      </c>
      <c r="D28" s="80">
        <f ca="1">D21-D26</f>
        <v>758623.29271935474</v>
      </c>
      <c r="E28" s="80">
        <f ca="1">E21-E26</f>
        <v>796847.63595924154</v>
      </c>
      <c r="F28" s="80">
        <f ca="1">F21-F26</f>
        <v>836643.281772419</v>
      </c>
      <c r="G28" s="80">
        <f ca="1">G21-G26</f>
        <v>878069.8947601493</v>
      </c>
    </row>
    <row r="29" spans="2:8" ht="18" customHeight="1" x14ac:dyDescent="0.25">
      <c r="B29" s="104"/>
      <c r="C29" s="104"/>
      <c r="D29" s="104"/>
      <c r="E29" s="104"/>
      <c r="F29" s="104"/>
      <c r="G29" s="104"/>
    </row>
    <row r="30" spans="2:8" ht="15" customHeight="1" x14ac:dyDescent="0.25">
      <c r="B30" s="16" t="s">
        <v>175</v>
      </c>
    </row>
    <row r="31" spans="2:8" ht="15" customHeight="1" x14ac:dyDescent="0.25">
      <c r="B31" s="24" t="s">
        <v>176</v>
      </c>
      <c r="C31" s="51">
        <f ca="1">'BOV Summary'!F25*$C$10</f>
        <v>9385255.0161290318</v>
      </c>
      <c r="D31" s="51">
        <f ca="1">C31</f>
        <v>9385255.0161290318</v>
      </c>
      <c r="E31" s="51">
        <f ca="1">C31</f>
        <v>9385255.0161290318</v>
      </c>
      <c r="F31" s="51">
        <f ca="1">C31</f>
        <v>9385255.0161290318</v>
      </c>
      <c r="G31" s="51">
        <f ca="1">C31</f>
        <v>9385255.0161290318</v>
      </c>
    </row>
    <row r="32" spans="2:8" ht="18" customHeight="1" x14ac:dyDescent="0.25">
      <c r="B32" s="26" t="s">
        <v>177</v>
      </c>
      <c r="C32" s="54">
        <f ca="1">-PMT($C$9/12,360,C31)*12</f>
        <v>621908.7078542728</v>
      </c>
      <c r="D32" s="54">
        <f ca="1">-PMT($C$9/12,360,C31)*12</f>
        <v>621908.7078542728</v>
      </c>
      <c r="E32" s="54">
        <f ca="1">-PMT($C$9/12,360,C31)*12</f>
        <v>621908.7078542728</v>
      </c>
      <c r="F32" s="54">
        <f ca="1">-PMT($C$9/12,360,C31)*12</f>
        <v>621908.7078542728</v>
      </c>
      <c r="G32" s="54">
        <f ca="1">-PMT($C$9/12,360,C31)*12</f>
        <v>621908.7078542728</v>
      </c>
    </row>
    <row r="33" spans="1:8" ht="15" customHeight="1" x14ac:dyDescent="0.25">
      <c r="B33" s="83" t="s">
        <v>178</v>
      </c>
      <c r="C33" s="84">
        <f ca="1">C28-C32</f>
        <v>100003.98569411435</v>
      </c>
      <c r="D33" s="84">
        <f ca="1">D28-D32</f>
        <v>136714.58486508194</v>
      </c>
      <c r="E33" s="84">
        <f ca="1">E28-E32</f>
        <v>174938.92810496874</v>
      </c>
      <c r="F33" s="84">
        <f ca="1">F28-F32</f>
        <v>214734.5739181462</v>
      </c>
      <c r="G33" s="84">
        <f ca="1">G28-G32</f>
        <v>256161.1869058765</v>
      </c>
    </row>
    <row r="34" spans="1:8" ht="7.5" customHeight="1" x14ac:dyDescent="0.25">
      <c r="B34" s="24" t="s">
        <v>179</v>
      </c>
      <c r="C34" s="101">
        <f ca="1">C33/(C12-C31)</f>
        <v>1.9788667159120223E-2</v>
      </c>
      <c r="D34" s="101">
        <f ca="1">D33/(C12-C31)</f>
        <v>2.7052915910446812E-2</v>
      </c>
      <c r="E34" s="101">
        <f ca="1">E33/(C12-C31)</f>
        <v>3.4616702498550818E-2</v>
      </c>
      <c r="F34" s="101">
        <f ca="1">F33/(C12-C31)</f>
        <v>4.249141653032918E-2</v>
      </c>
      <c r="G34" s="101">
        <f ca="1">G33/(C12-C31)</f>
        <v>5.0688864364572143E-2</v>
      </c>
    </row>
    <row r="35" spans="1:8" ht="18" customHeight="1" x14ac:dyDescent="0.25">
      <c r="B35" s="104"/>
      <c r="C35" s="104"/>
      <c r="D35" s="104"/>
      <c r="E35" s="104"/>
      <c r="F35" s="104"/>
      <c r="G35" s="104"/>
    </row>
    <row r="36" spans="1:8" ht="15.75" customHeight="1" x14ac:dyDescent="0.25">
      <c r="B36" s="5" t="s">
        <v>180</v>
      </c>
      <c r="C36" s="5"/>
      <c r="D36" s="5"/>
      <c r="E36" s="5"/>
      <c r="F36" s="5"/>
    </row>
    <row r="37" spans="1:8" ht="15.75" customHeight="1" x14ac:dyDescent="0.25">
      <c r="B37" s="4" t="s">
        <v>181</v>
      </c>
      <c r="C37" s="4"/>
      <c r="D37" s="4"/>
      <c r="E37" s="4"/>
      <c r="F37" s="4"/>
      <c r="G37" s="25">
        <f ca="1">G28</f>
        <v>878069.8947601493</v>
      </c>
    </row>
    <row r="38" spans="1:8" ht="15.75" customHeight="1" x14ac:dyDescent="0.25">
      <c r="B38" s="3" t="s">
        <v>182</v>
      </c>
      <c r="C38" s="3"/>
      <c r="D38" s="3"/>
      <c r="E38" s="3"/>
      <c r="F38" s="3"/>
      <c r="G38" s="102">
        <f>$C$11</f>
        <v>0.05</v>
      </c>
    </row>
    <row r="39" spans="1:8" ht="15.75" customHeight="1" x14ac:dyDescent="0.25">
      <c r="B39" s="1" t="s">
        <v>183</v>
      </c>
      <c r="C39" s="1"/>
      <c r="D39" s="1"/>
      <c r="E39" s="1"/>
      <c r="F39" s="1"/>
      <c r="G39" s="31">
        <f ca="1">G37/G38</f>
        <v>17561397.895202983</v>
      </c>
    </row>
    <row r="40" spans="1:8" ht="15.75" customHeight="1" x14ac:dyDescent="0.25">
      <c r="B40" s="3" t="s">
        <v>184</v>
      </c>
      <c r="C40" s="3"/>
      <c r="D40" s="3"/>
      <c r="E40" s="3"/>
      <c r="F40" s="3"/>
      <c r="G40" s="23">
        <f ca="1">G31*0.93</f>
        <v>8728287.1649999991</v>
      </c>
    </row>
    <row r="41" spans="1:8" ht="15" customHeight="1" x14ac:dyDescent="0.25">
      <c r="B41" s="29" t="s">
        <v>185</v>
      </c>
      <c r="G41" s="31">
        <f ca="1">G39-G40</f>
        <v>8833110.7302029841</v>
      </c>
    </row>
    <row r="42" spans="1:8" ht="7.5" customHeight="1" x14ac:dyDescent="0.25">
      <c r="A42" s="32"/>
      <c r="B42" s="32"/>
      <c r="C42" s="32"/>
      <c r="D42" s="32"/>
      <c r="E42" s="32"/>
      <c r="F42" s="32"/>
      <c r="G42" s="32"/>
      <c r="H42" s="32"/>
    </row>
    <row r="43" spans="1:8" ht="19.5" customHeight="1" x14ac:dyDescent="0.25">
      <c r="A43" s="32"/>
      <c r="B43" s="116" t="s">
        <v>186</v>
      </c>
      <c r="C43" s="116"/>
      <c r="D43" s="116"/>
      <c r="E43" s="116"/>
      <c r="F43" s="116"/>
      <c r="G43" s="116"/>
      <c r="H43" s="32"/>
    </row>
    <row r="44" spans="1:8" ht="12.75" customHeight="1" x14ac:dyDescent="0.25">
      <c r="B44" s="105" t="s">
        <v>187</v>
      </c>
      <c r="C44" s="105"/>
      <c r="D44" s="105"/>
      <c r="E44" s="105"/>
      <c r="F44" s="105"/>
      <c r="G44" s="105"/>
    </row>
    <row r="45" spans="1:8" ht="27.75" customHeight="1" x14ac:dyDescent="0.25">
      <c r="A45" s="32"/>
      <c r="B45" s="85"/>
      <c r="C45" s="85" t="s">
        <v>188</v>
      </c>
      <c r="D45" s="85" t="s">
        <v>189</v>
      </c>
      <c r="E45" s="85" t="s">
        <v>190</v>
      </c>
      <c r="F45" s="85" t="s">
        <v>191</v>
      </c>
      <c r="G45" s="85" t="s">
        <v>192</v>
      </c>
      <c r="H45" s="85" t="s">
        <v>193</v>
      </c>
    </row>
    <row r="46" spans="1:8" ht="16.5" customHeight="1" x14ac:dyDescent="0.25">
      <c r="A46" s="81"/>
      <c r="B46" s="29" t="s">
        <v>194</v>
      </c>
      <c r="C46" s="103">
        <f ca="1">-(C12-C31)</f>
        <v>-5053598.8548387103</v>
      </c>
      <c r="D46" s="103">
        <f ca="1">C33</f>
        <v>100003.98569411435</v>
      </c>
      <c r="E46" s="103">
        <f ca="1">D33</f>
        <v>136714.58486508194</v>
      </c>
      <c r="F46" s="103">
        <f ca="1">E33</f>
        <v>174938.92810496874</v>
      </c>
      <c r="G46" s="103">
        <f ca="1">F33</f>
        <v>214734.5739181462</v>
      </c>
      <c r="H46" s="103">
        <f ca="1">G33+G41</f>
        <v>9089271.9171088599</v>
      </c>
    </row>
    <row r="47" spans="1:8" ht="19.5" customHeight="1" x14ac:dyDescent="0.25">
      <c r="A47" s="78"/>
      <c r="B47" s="117" t="s">
        <v>195</v>
      </c>
      <c r="C47" s="117"/>
      <c r="D47" s="117"/>
      <c r="E47" s="117"/>
      <c r="F47" s="118">
        <f ca="1">IRR(C46:H46)</f>
        <v>0.14490561962410586</v>
      </c>
      <c r="G47" s="118"/>
      <c r="H47" s="118"/>
    </row>
    <row r="48" spans="1:8" ht="16.5" customHeight="1" x14ac:dyDescent="0.25">
      <c r="A48" s="81"/>
      <c r="B48" s="1" t="s">
        <v>196</v>
      </c>
      <c r="C48" s="1"/>
      <c r="D48" s="1"/>
      <c r="E48" s="1"/>
      <c r="F48" s="119">
        <f ca="1">(SUM(D46:H46)-C46)/(-C46)</f>
        <v>2.9225237833012083</v>
      </c>
      <c r="G48" s="119"/>
      <c r="H48" s="119"/>
    </row>
    <row r="49" spans="1:8" ht="15" customHeight="1" x14ac:dyDescent="0.25">
      <c r="A49" s="33"/>
      <c r="B49" s="120" t="s">
        <v>197</v>
      </c>
      <c r="C49" s="120"/>
      <c r="D49" s="120"/>
      <c r="E49" s="120"/>
      <c r="F49" s="121">
        <f ca="1">-C46</f>
        <v>5053598.8548387103</v>
      </c>
      <c r="G49" s="121"/>
      <c r="H49" s="121"/>
    </row>
    <row r="50" spans="1:8" ht="15" customHeight="1" x14ac:dyDescent="0.25">
      <c r="A50" s="35"/>
      <c r="B50" s="122" t="s">
        <v>198</v>
      </c>
      <c r="C50" s="122"/>
      <c r="D50" s="122"/>
      <c r="E50" s="122"/>
      <c r="F50" s="123">
        <f ca="1">SUM(D46:H46)</f>
        <v>9715663.9896911718</v>
      </c>
      <c r="G50" s="123"/>
      <c r="H50" s="123"/>
    </row>
    <row r="51" spans="1:8" ht="15.75" customHeight="1" x14ac:dyDescent="0.25"/>
    <row r="52" spans="1:8" ht="25.5" customHeight="1" x14ac:dyDescent="0.25">
      <c r="B52" s="124" t="s">
        <v>199</v>
      </c>
      <c r="C52" s="124"/>
      <c r="D52" s="124"/>
      <c r="E52" s="124"/>
      <c r="F52" s="124"/>
      <c r="G52" s="124"/>
      <c r="H52" s="124"/>
    </row>
    <row r="53" spans="1:8" ht="15.75" customHeight="1" x14ac:dyDescent="0.25"/>
    <row r="54" spans="1:8" ht="15.75" customHeight="1" x14ac:dyDescent="0.25"/>
    <row r="55" spans="1:8" ht="15.75" customHeight="1" x14ac:dyDescent="0.25"/>
    <row r="56" spans="1:8" ht="15.75" customHeight="1" x14ac:dyDescent="0.25"/>
    <row r="57" spans="1:8" ht="15.75" customHeight="1" x14ac:dyDescent="0.25"/>
    <row r="58" spans="1:8" ht="15.75" customHeight="1" x14ac:dyDescent="0.25"/>
    <row r="59" spans="1:8" ht="15.75" customHeight="1" x14ac:dyDescent="0.25"/>
    <row r="60" spans="1:8" ht="15.75" customHeight="1" x14ac:dyDescent="0.25"/>
    <row r="61" spans="1:8" ht="15.75" customHeight="1" x14ac:dyDescent="0.25"/>
    <row r="62" spans="1:8" ht="15.75" customHeight="1" x14ac:dyDescent="0.25"/>
    <row r="63" spans="1:8" ht="15.75" customHeight="1" x14ac:dyDescent="0.25"/>
    <row r="64" spans="1:8"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4">
    <mergeCell ref="B50:E50"/>
    <mergeCell ref="F50:H50"/>
    <mergeCell ref="B52:H52"/>
    <mergeCell ref="B47:E47"/>
    <mergeCell ref="F47:H47"/>
    <mergeCell ref="B48:E48"/>
    <mergeCell ref="F48:H48"/>
    <mergeCell ref="B49:E49"/>
    <mergeCell ref="F49:H49"/>
    <mergeCell ref="B38:F38"/>
    <mergeCell ref="B39:F39"/>
    <mergeCell ref="B40:F40"/>
    <mergeCell ref="B43:G43"/>
    <mergeCell ref="B44:G44"/>
    <mergeCell ref="B22:G22"/>
    <mergeCell ref="B29:G29"/>
    <mergeCell ref="B35:G35"/>
    <mergeCell ref="B36:F36"/>
    <mergeCell ref="B37:F37"/>
    <mergeCell ref="A2:H2"/>
    <mergeCell ref="A3:H3"/>
    <mergeCell ref="B5:G5"/>
    <mergeCell ref="D12:G12"/>
    <mergeCell ref="B15:G15"/>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BOV Summary</vt:lpstr>
      <vt:lpstr>Income Statement</vt:lpstr>
      <vt:lpstr>Sales Comps</vt:lpstr>
      <vt:lpstr>Rent Comps</vt:lpstr>
      <vt:lpstr>5-Year Cash Flow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Sam Neumark</cp:lastModifiedBy>
  <cp:revision>0</cp:revision>
  <dcterms:created xsi:type="dcterms:W3CDTF">2026-03-19T18:58:12Z</dcterms:created>
  <dcterms:modified xsi:type="dcterms:W3CDTF">2026-03-19T20:31:40Z</dcterms:modified>
  <dc:language>en-US</dc:language>
</cp:coreProperties>
</file>